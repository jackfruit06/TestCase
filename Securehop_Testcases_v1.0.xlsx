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Report" sheetId="2" r:id="rId5"/>
    <sheet state="visible" name="Glossary" sheetId="3" r:id="rId6"/>
    <sheet state="visible" name="QuanLyThuongHieu" sheetId="4" r:id="rId7"/>
    <sheet state="visible" name="QuanLyDanhMuc" sheetId="5" r:id="rId8"/>
    <sheet state="visible" name="Bản sao của QuanLyDanhMuc" sheetId="6" r:id="rId9"/>
    <sheet state="visible" name="Design" sheetId="7" r:id="rId10"/>
    <sheet state="visible" name="Trang tính5" sheetId="8" r:id="rId11"/>
  </sheets>
  <definedNames>
    <definedName hidden="1" localSheetId="7" name="_xlnm._FilterDatabase">'Trang tính5'!$A$1:$Z$1000</definedName>
  </definedNames>
  <calcPr/>
  <extLst>
    <ext uri="GoogleSheetsCustomDataVersion2">
      <go:sheetsCustomData xmlns:go="http://customooxmlschemas.google.com/" r:id="rId12" roundtripDataChecksum="Zvg9d9iOVMekNijYWfAZpOjF7N2vQ2HYtUJ2IconQXQ="/>
    </ext>
  </extLst>
</workbook>
</file>

<file path=xl/sharedStrings.xml><?xml version="1.0" encoding="utf-8"?>
<sst xmlns="http://schemas.openxmlformats.org/spreadsheetml/2006/main" count="2066" uniqueCount="764">
  <si>
    <t>FUNCTION TESTCASE DOCUMENT</t>
  </si>
  <si>
    <r>
      <rPr>
        <rFont val="Times New Roman"/>
        <b/>
        <color theme="1"/>
        <sz val="11.0"/>
      </rPr>
      <t xml:space="preserve">Document name: </t>
    </r>
    <r>
      <rPr>
        <rFont val="Times New Roman"/>
        <b val="0"/>
        <i/>
        <color theme="1"/>
        <sz val="11.0"/>
      </rPr>
      <t>[Project Code]_TestCase_SIT_Version_xx</t>
    </r>
  </si>
  <si>
    <r>
      <rPr>
        <rFont val="Times New Roman"/>
        <b/>
        <color theme="1"/>
        <sz val="11.0"/>
      </rPr>
      <t xml:space="preserve">Version: </t>
    </r>
    <r>
      <rPr>
        <rFont val="Times New Roman"/>
        <b val="0"/>
        <i/>
        <color theme="1"/>
        <sz val="11.0"/>
      </rPr>
      <t>[Enter version of document]</t>
    </r>
  </si>
  <si>
    <r>
      <rPr>
        <rFont val="Times New Roman"/>
        <b/>
        <color theme="1"/>
        <sz val="12.0"/>
      </rPr>
      <t xml:space="preserve">Creator: </t>
    </r>
    <r>
      <rPr>
        <rFont val="Times New Roman"/>
        <b val="0"/>
        <i/>
        <color theme="1"/>
        <sz val="12.0"/>
      </rPr>
      <t>[Enter account of creator]</t>
    </r>
  </si>
  <si>
    <r>
      <rPr>
        <rFont val="Times New Roman"/>
        <b/>
        <color theme="1"/>
        <sz val="12.0"/>
      </rPr>
      <t xml:space="preserve">Create Date: </t>
    </r>
    <r>
      <rPr>
        <rFont val="Times New Roman"/>
        <b val="0"/>
        <i/>
        <color theme="1"/>
        <sz val="12.0"/>
      </rPr>
      <t>[Enter create date]</t>
    </r>
  </si>
  <si>
    <r>
      <rPr>
        <rFont val="Times New Roman"/>
        <b/>
        <color theme="1"/>
        <sz val="12.0"/>
      </rPr>
      <t xml:space="preserve">Reviewer: </t>
    </r>
    <r>
      <rPr>
        <rFont val="Times New Roman"/>
        <b val="0"/>
        <i/>
        <color theme="1"/>
        <sz val="12.0"/>
      </rPr>
      <t>[Enter account of test leader]</t>
    </r>
  </si>
  <si>
    <r>
      <rPr>
        <rFont val="Times New Roman"/>
        <b/>
        <color theme="1"/>
        <sz val="12.0"/>
      </rPr>
      <t xml:space="preserve">Review Date: </t>
    </r>
    <r>
      <rPr>
        <rFont val="Times New Roman"/>
        <b val="0"/>
        <i/>
        <color theme="1"/>
        <sz val="12.0"/>
      </rPr>
      <t>[Enter duration testing date]</t>
    </r>
  </si>
  <si>
    <t>REFERENCE DOCUMENTS</t>
  </si>
  <si>
    <t>No</t>
  </si>
  <si>
    <t>Document tyoe</t>
  </si>
  <si>
    <t>Document name</t>
  </si>
  <si>
    <t>Link</t>
  </si>
  <si>
    <t>HISTORY CHANGE</t>
  </si>
  <si>
    <t>Date</t>
  </si>
  <si>
    <t>Version</t>
  </si>
  <si>
    <t>Category (*)</t>
  </si>
  <si>
    <t>Modified By</t>
  </si>
  <si>
    <t>Description</t>
  </si>
  <si>
    <t>( *) A (Add), M (Modify), D (Delete)</t>
  </si>
  <si>
    <t>FUNCTIONS LIST</t>
  </si>
  <si>
    <t>Function</t>
  </si>
  <si>
    <t>Tester</t>
  </si>
  <si>
    <t>Status</t>
  </si>
  <si>
    <t>Sheet Name</t>
  </si>
  <si>
    <t>TEST SUMMARY REPORT</t>
  </si>
  <si>
    <t>[Project Name]</t>
  </si>
  <si>
    <r>
      <rPr>
        <rFont val="Times New Roman"/>
        <b/>
        <color theme="1"/>
        <sz val="11.0"/>
      </rPr>
      <t xml:space="preserve">Document name: </t>
    </r>
    <r>
      <rPr>
        <rFont val="Times New Roman"/>
        <b val="0"/>
        <i/>
        <color theme="1"/>
        <sz val="11.0"/>
      </rPr>
      <t>[Enter document name]</t>
    </r>
  </si>
  <si>
    <r>
      <rPr>
        <rFont val="Times New Roman"/>
        <b/>
        <color theme="1"/>
        <sz val="11.0"/>
      </rPr>
      <t xml:space="preserve">Version: </t>
    </r>
    <r>
      <rPr>
        <rFont val="Times New Roman"/>
        <b val="0"/>
        <i/>
        <color theme="1"/>
        <sz val="11.0"/>
      </rPr>
      <t>[Enter version of document]</t>
    </r>
  </si>
  <si>
    <r>
      <rPr>
        <rFont val="Times New Roman"/>
        <b/>
        <color theme="1"/>
        <sz val="12.0"/>
      </rPr>
      <t xml:space="preserve">Creator: </t>
    </r>
    <r>
      <rPr>
        <rFont val="Times New Roman"/>
        <b val="0"/>
        <i/>
        <color theme="1"/>
        <sz val="12.0"/>
      </rPr>
      <t>[Enter account of creator]</t>
    </r>
  </si>
  <si>
    <r>
      <rPr>
        <rFont val="Times New Roman"/>
        <b/>
        <color theme="1"/>
        <sz val="12.0"/>
      </rPr>
      <t xml:space="preserve">Create Date: </t>
    </r>
    <r>
      <rPr>
        <rFont val="Times New Roman"/>
        <b val="0"/>
        <i/>
        <color theme="1"/>
        <sz val="12.0"/>
      </rPr>
      <t>[Enter create date]</t>
    </r>
  </si>
  <si>
    <r>
      <rPr>
        <rFont val="Times New Roman"/>
        <b/>
        <color theme="1"/>
        <sz val="12.0"/>
      </rPr>
      <t xml:space="preserve">Test Leader: </t>
    </r>
    <r>
      <rPr>
        <rFont val="Times New Roman"/>
        <b val="0"/>
        <i/>
        <color theme="1"/>
        <sz val="12.0"/>
      </rPr>
      <t>[Enter account of test leader]</t>
    </r>
  </si>
  <si>
    <r>
      <rPr>
        <rFont val="Times New Roman"/>
        <b/>
        <color theme="1"/>
        <sz val="12.0"/>
      </rPr>
      <t xml:space="preserve">Test Date: </t>
    </r>
    <r>
      <rPr>
        <rFont val="Times New Roman"/>
        <b val="0"/>
        <i/>
        <color theme="1"/>
        <sz val="12.0"/>
      </rPr>
      <t>[Enter duration testing (From date - To date)]</t>
    </r>
  </si>
  <si>
    <r>
      <rPr>
        <rFont val="Times New Roman"/>
        <b/>
        <color theme="1"/>
        <sz val="12.0"/>
      </rPr>
      <t xml:space="preserve">Project Manager: </t>
    </r>
    <r>
      <rPr>
        <rFont val="Times New Roman"/>
        <b val="0"/>
        <i/>
        <color theme="1"/>
        <sz val="12.0"/>
      </rPr>
      <t>[Enter account of PM]</t>
    </r>
  </si>
  <si>
    <t>SIGNATURE</t>
  </si>
  <si>
    <t>Full name:</t>
  </si>
  <si>
    <t>Vũ Đình Đồng</t>
  </si>
  <si>
    <t>Signature</t>
  </si>
  <si>
    <t>Role:</t>
  </si>
  <si>
    <t>Test leader</t>
  </si>
  <si>
    <t>Date time:</t>
  </si>
  <si>
    <t>01/10/2022</t>
  </si>
  <si>
    <t>1. Test Tracking and Efficiency</t>
  </si>
  <si>
    <t>NO</t>
  </si>
  <si>
    <t>TEST TRACKING</t>
  </si>
  <si>
    <t>PERCENTAGE</t>
  </si>
  <si>
    <t>Test Coverage</t>
  </si>
  <si>
    <t>Passed Rate</t>
  </si>
  <si>
    <t>Failed Rate</t>
  </si>
  <si>
    <t>Fixed Defects</t>
  </si>
  <si>
    <t>2. Test Execution Status</t>
  </si>
  <si>
    <t>MODULE</t>
  </si>
  <si>
    <t>EXECUTION</t>
  </si>
  <si>
    <t>PASS RATE</t>
  </si>
  <si>
    <t>TOTAL TCs</t>
  </si>
  <si>
    <t>PASSED</t>
  </si>
  <si>
    <t>FAILED</t>
  </si>
  <si>
    <t>PENDING</t>
  </si>
  <si>
    <t>N/A</t>
  </si>
  <si>
    <t>TOTAL</t>
  </si>
  <si>
    <t>3. Bug Status</t>
  </si>
  <si>
    <t>FIX RATE</t>
  </si>
  <si>
    <t>DONE</t>
  </si>
  <si>
    <t>OPEN</t>
  </si>
  <si>
    <t>REJECTED</t>
  </si>
  <si>
    <t>5. Testing Chart</t>
  </si>
  <si>
    <t>Trạng thái</t>
  </si>
  <si>
    <t>Note</t>
  </si>
  <si>
    <t>TEST STATUS</t>
  </si>
  <si>
    <t>BUG STATUS</t>
  </si>
  <si>
    <t>BUG TYPE</t>
  </si>
  <si>
    <t>PRIORITY</t>
  </si>
  <si>
    <t>SEVERITY</t>
  </si>
  <si>
    <t>NOT READY</t>
  </si>
  <si>
    <t>Chưa bắt đầu test</t>
  </si>
  <si>
    <t>Passed</t>
  </si>
  <si>
    <t>Done</t>
  </si>
  <si>
    <t>Business</t>
  </si>
  <si>
    <t>Highest</t>
  </si>
  <si>
    <t>Blocked</t>
  </si>
  <si>
    <t>IN-PROGRESS</t>
  </si>
  <si>
    <t>Đang test chưa hết round 1</t>
  </si>
  <si>
    <t>Failed</t>
  </si>
  <si>
    <t>Open</t>
  </si>
  <si>
    <t>Validate</t>
  </si>
  <si>
    <t>High</t>
  </si>
  <si>
    <t>Critical</t>
  </si>
  <si>
    <t>FIXBUG</t>
  </si>
  <si>
    <t>Hết round 1, có bug đang chờ fix</t>
  </si>
  <si>
    <t>Pending</t>
  </si>
  <si>
    <t>UI/UX</t>
  </si>
  <si>
    <t>Medium</t>
  </si>
  <si>
    <t>Major</t>
  </si>
  <si>
    <t>PASSED INTERNAL</t>
  </si>
  <si>
    <t>Đã test xong và fix xong bug</t>
  </si>
  <si>
    <t>Rejected</t>
  </si>
  <si>
    <t>Low</t>
  </si>
  <si>
    <t>Minor</t>
  </si>
  <si>
    <t>Không test tiếp được do có blocker</t>
  </si>
  <si>
    <t>READY FOR TEST</t>
  </si>
  <si>
    <t>Sẵn sàng để test internal</t>
  </si>
  <si>
    <t>IN UAT</t>
  </si>
  <si>
    <t>Đã lên UAT</t>
  </si>
  <si>
    <t>FAILED UAT</t>
  </si>
  <si>
    <t>Fail trên UAT</t>
  </si>
  <si>
    <t>PASSED UAT</t>
  </si>
  <si>
    <t>Pass trên UAT</t>
  </si>
  <si>
    <t>CREATE T/C</t>
  </si>
  <si>
    <t>Đang tạo test case</t>
  </si>
  <si>
    <t>Module Name</t>
  </si>
  <si>
    <t>Quản lý thương hiệu</t>
  </si>
  <si>
    <t>Kết quả test</t>
  </si>
  <si>
    <t>Trạng thái lỗi</t>
  </si>
  <si>
    <t>Module Code</t>
  </si>
  <si>
    <t>Brand</t>
  </si>
  <si>
    <t>Total Testcases</t>
  </si>
  <si>
    <t>Coverage</t>
  </si>
  <si>
    <t>Creator</t>
  </si>
  <si>
    <t>TC_ID</t>
  </si>
  <si>
    <t>Mục đích kiểm thử</t>
  </si>
  <si>
    <t>Kịch bản</t>
  </si>
  <si>
    <t>Trường hợp kiểm thử</t>
  </si>
  <si>
    <t>Dữ liệu</t>
  </si>
  <si>
    <t>Bước thực hiện</t>
  </si>
  <si>
    <t>Kết quả mong muốn</t>
  </si>
  <si>
    <t>Kết quả</t>
  </si>
  <si>
    <t>Ghi chú</t>
  </si>
  <si>
    <t>Pre-condition: Đăng nhập hệ thống với tài khoản có quyền</t>
  </si>
  <si>
    <t>Danh sách thương hiệu</t>
  </si>
  <si>
    <t>Kiểm tra giao diện</t>
  </si>
  <si>
    <t>Kiểm tra giao diện chung của màn hình chức năng</t>
  </si>
  <si>
    <t>Kiểm tra giao diện so với thiết kế</t>
  </si>
  <si>
    <t>1. Truy cập màn hình Quản lý Thương hiệu
2. Kiểm tra giao diện màn hình chức năng so với thiết kế</t>
  </si>
  <si>
    <t>2. Hiển thị giao diện màn hình chức năng đúng với thiết kế
Figma: 
- Title: Quản lý thương hiệu
- Button: Thêm thương hiệu
- Textbox tìm kiếm
- Gird danh sách thương hiệu</t>
  </si>
  <si>
    <t>2. Các trường thông tin hiển thị đúng chính tả</t>
  </si>
  <si>
    <t>2. Các trường thông tin hiển thị đúng layout, căn chỉnh thẳng hàng, không bị xô lệch</t>
  </si>
  <si>
    <t>2. Các trường thông tin hiển thị đúng stype, color, font size</t>
  </si>
  <si>
    <t>Kiểm tra hiển thị danh sách thương hiệu</t>
  </si>
  <si>
    <t>Không có dữ liệu thương hiệu</t>
  </si>
  <si>
    <t>Tại màn hình quản lý thương hiệu
1. Kiểm tra gird thương hiệu trên màn hình</t>
  </si>
  <si>
    <t>1. Hiển thị thông báo "Không có thương hiệu phù hợp"</t>
  </si>
  <si>
    <t>Không tìm thấy thương hiệu phù hợp</t>
  </si>
  <si>
    <t>Có dữ liệu thương hiệu</t>
  </si>
  <si>
    <t>1. Hiển thị card thông tin thương hiệu gồm 
- icon thương hiệu
- Tên thương hiệu
- Số lượng sản phẩm gắn với thương hiệu
- icon edit
- icon delete</t>
  </si>
  <si>
    <t>Số lượng ko hiển thị đúng</t>
  </si>
  <si>
    <t>1. Gird card hiển thị 3 cột trên dòng</t>
  </si>
  <si>
    <t>Kiểm tra giao diện tìm kiếm</t>
  </si>
  <si>
    <t>Tại màn hình quản lý thương hiệu
1. Kiểm tra trường Tìm kiếm</t>
  </si>
  <si>
    <t>1. Mặc định trường textbox Trống</t>
  </si>
  <si>
    <t>1. Hiển thị place holder text "Tìm kiếm theo tên thương hiệu"</t>
  </si>
  <si>
    <t>Kiểm tra validate trường thông tin</t>
  </si>
  <si>
    <t>Kiểm tra validate trường Tìm kiếm theo tên thương hiệu</t>
  </si>
  <si>
    <t>Nhập thông tin hợp lệ</t>
  </si>
  <si>
    <t>Nhập thương hiệu đang hoạt động</t>
  </si>
  <si>
    <t>Tại màn hình quản lý thương hiệu
1. Nhập thông tin tìm kiếm như kịch bản test
2. Kiểm tra kết quả tìm kiếm</t>
  </si>
  <si>
    <t>2. Cho phép nhập thông tin, thực hiện tìm kiếm</t>
  </si>
  <si>
    <t>Nhập thương hiệu đã bị xóa</t>
  </si>
  <si>
    <t>Nhập thông tin không hợp lệ</t>
  </si>
  <si>
    <t>Nhập thương hiệu không tồn tại</t>
  </si>
  <si>
    <t>Kiểm tra chức năng</t>
  </si>
  <si>
    <t>Kiểm tra chức năng tìm kiếm</t>
  </si>
  <si>
    <t>Tìm kiếm với keyword tồn tại</t>
  </si>
  <si>
    <t>2. Hiển thị danh sách thương hiệu theo keyword</t>
  </si>
  <si>
    <t>2. Hiển thị đúng dữ liệu trong db
SQL: SELECT * FROM Brands WHERE name = ''</t>
  </si>
  <si>
    <t>2. Báo lỗi "Không tìm thấy thương hiệu phù hợp"</t>
  </si>
  <si>
    <t>Tìm kiếm với keyword không tồn tại</t>
  </si>
  <si>
    <t>Kiểm tra chức năng các button</t>
  </si>
  <si>
    <t>Kiểm tra button Thêm thương hiệu</t>
  </si>
  <si>
    <t>Tại màn hình quản lý thương hiệu
1. Click button Thêm mới
2. Kiểm tra thao tác</t>
  </si>
  <si>
    <t>2. Hiển thị popup Thêm mới</t>
  </si>
  <si>
    <t>Kiểm tra icon edit</t>
  </si>
  <si>
    <t>Tại màn hình quản lý thương hiệu
1. Click icon edit trên bản ghi
2. Kiểm tra thao tác</t>
  </si>
  <si>
    <t>2. Hiển thị popup Chỉnh sửa</t>
  </si>
  <si>
    <t>Kiểm tra icon delete</t>
  </si>
  <si>
    <t>Tại màn hình quản lý thương hiệu
1. Click icon delete trên bản ghi
2. Kiểm tra thao tác</t>
  </si>
  <si>
    <t>2. Hiển thị Dialog Xóa</t>
  </si>
  <si>
    <t>Thêm mới thương hiệu</t>
  </si>
  <si>
    <t>Tại màn hình quản lý thương hiệu
1. Click button "Thêm thương hiệu"
2. Kiểm tra giao diện màn hình chức năng so với thiết kế</t>
  </si>
  <si>
    <t>2. Hiển thị giao diện màn hình chức năng đúng với thiết kế
Figma: 
- Title: Thêm thương hiệu
- Button: Hủy, Lưu
- Textbox Tên thương hiệu *</t>
  </si>
  <si>
    <t>2. Error message được hiển thị inline, màu đỏ</t>
  </si>
  <si>
    <t>Bắn cả response message lên giao diện</t>
  </si>
  <si>
    <t>Kiểm tra giá trị mặc định</t>
  </si>
  <si>
    <t>Kiểm tra giá trị trường Tên thương hiệu</t>
  </si>
  <si>
    <t>Tại màn hình thêm mới thương hiệu
1. Kiểm tra giá trị mặc định trường Tên thương hiệu</t>
  </si>
  <si>
    <t>1. Tên thương hiệu mặc định trống</t>
  </si>
  <si>
    <t>1. Hiển thị place holder text "Nhập tên thương hiệu"</t>
  </si>
  <si>
    <t>Kiểm tra validate trường Tên thương hiệu</t>
  </si>
  <si>
    <t>Nhập tên thương hiệu hợp lệ</t>
  </si>
  <si>
    <t>Nhập tên &lt; 50 ký tự</t>
  </si>
  <si>
    <t>Tại màn hình thêm mới thương hiệu
1. Nhập thông tin trường dữ liệu như kịch bản test 
2. Click Lưu</t>
  </si>
  <si>
    <t>2. Lưu thương hiệu thành công</t>
  </si>
  <si>
    <t>Nhập tên = 50 ký tự</t>
  </si>
  <si>
    <t>Nhập tên thương hiệu không hợp lệ</t>
  </si>
  <si>
    <t>Không nhập tên</t>
  </si>
  <si>
    <t>2. Báo lỗi "Tên thương hiệu không được để trống"</t>
  </si>
  <si>
    <t>Nhập tên đã tồn tại</t>
  </si>
  <si>
    <t>2. Báo lỗi "Tên thương hiệu đã tồn tại"</t>
  </si>
  <si>
    <t>Thông báo ko rõ ràng</t>
  </si>
  <si>
    <t>Nhập space</t>
  </si>
  <si>
    <t>Nhập &gt; 50 ký tự</t>
  </si>
  <si>
    <t>2. Báo lỗi "Tên thương hiệu không hợp lệ"</t>
  </si>
  <si>
    <t>Nhập ký tự đặc biệt</t>
  </si>
  <si>
    <t>Nhập emotion/icon</t>
  </si>
  <si>
    <t>Kiểm tra chức năng Lưu</t>
  </si>
  <si>
    <t>Thêm mới với thông tin hợp lệ</t>
  </si>
  <si>
    <t>Tại màn hình thêm mới thương hiệu
1. Nhập thông tin hợp lệ 
2. Click Lưu</t>
  </si>
  <si>
    <t>2. Thêm mới thương hiệu thành công 
- Hiển thị toast thông báo "Thêm mới thương hiệu thành công"</t>
  </si>
  <si>
    <t>2. Đóng popup thêm mới, quay về màn hình danh sách</t>
  </si>
  <si>
    <t>2. Hiển thị bản ghi thêm mới lên đầu</t>
  </si>
  <si>
    <t>2. Hiển thị thông tin thương hiệu đúng với dữ liệu thêm mới</t>
  </si>
  <si>
    <t>3. Kiểm tra thông tin trong Database</t>
  </si>
  <si>
    <t>3. Thông tin insert vào database thành công 
- bảng Brands</t>
  </si>
  <si>
    <t>Kiểm tra chức năng Hủy</t>
  </si>
  <si>
    <t>Đã nhập thông tin thương hiệu</t>
  </si>
  <si>
    <t>Tại màn hình thêm mới thương hiệu
1. Nhập thông tin hợp lệ 
2. Click Hủy</t>
  </si>
  <si>
    <t>2. Hiển thị dia log confirm "Bạn muốn hủy thêm mới thương hiệu ?"</t>
  </si>
  <si>
    <t>3. Click Hủy</t>
  </si>
  <si>
    <t>3. Tắt dia log, vẫn giữ nguyên popup với thông tin đã nhập</t>
  </si>
  <si>
    <t>3. Click Đồng ý</t>
  </si>
  <si>
    <t>3. Đóng popup thêm mới, quay về màn hình danh sách
- Không thêm mới thương hiệu</t>
  </si>
  <si>
    <t>Chưa nhập thông tin thương hiệu</t>
  </si>
  <si>
    <t>Tại màn hình thêm mới thương hiệu
1. Không nhập thông tin 
2. Click Hủy</t>
  </si>
  <si>
    <t>Chỉnh sửa thương hiệu</t>
  </si>
  <si>
    <t>Tại màn hình quản lý thương hiệu
1. Click icon edit trên thương hiệu
2. Kiểm tra giao diện màn hình chức năng so với thiết kế</t>
  </si>
  <si>
    <t>2. Hiển thị giao diện màn hình chức năng đúng với thiết kế
Figma: 
- Title: Sửa thương hiệu
- Button: Hủy, Lưu
- Textbox Tên thương hiệu *</t>
  </si>
  <si>
    <t>1. Mặc định hiển thị tên thương hiệu hiện tại</t>
  </si>
  <si>
    <t>Kiểm tra chức năng Sửa thương hiệu</t>
  </si>
  <si>
    <t>Sửa thông tin mới hợp lệ</t>
  </si>
  <si>
    <t>Tại màn hình sửa thương hiệu
1. Nhập thông tin hợp lệ 
2. Click Lưu</t>
  </si>
  <si>
    <t>2. Sửa thương hiệu thành công 
- Hiển thị toast thông báo "Sửa thương hiệu thành công"</t>
  </si>
  <si>
    <t>2. Đóng popup sửa, quay về màn hình danh sách</t>
  </si>
  <si>
    <t>2. Hiển thị bản ghi vừa sửa lên đầu</t>
  </si>
  <si>
    <t>2. Hiển thị thông tin thương hiệu đúng với dữ liệu vừa sửa</t>
  </si>
  <si>
    <t>3. Thông tin update vào database thành công 
- bảng Brands</t>
  </si>
  <si>
    <t>4. Kiểm tra dữ liệu trên sản phẩm</t>
  </si>
  <si>
    <t>4. Thông tin thương hiệu của sản phẩm thay đổi</t>
  </si>
  <si>
    <t>Không sửa thông tin</t>
  </si>
  <si>
    <t>Tại màn hình sửa thương hiệu
1. Nhập thông tin hợp lệ 
2. Click Hủy</t>
  </si>
  <si>
    <t>2. Đóng popup sửa, quay về màn hình danh sách
- Thông tin thương hiệu không bị thay đổi</t>
  </si>
  <si>
    <t>Xóa thương hiệu</t>
  </si>
  <si>
    <t>Tại màn hình quản lý thương hiệu
1. Click icon delete trên thương hiệu
2. Kiểm tra giao diện màn hình chức năng so với thiết kế</t>
  </si>
  <si>
    <t>2. Hiển thị giao diện popup đúng với thiết kế
Figma: 
- Title: Xác nhận xóa thương hiệu
- Button: Hủy, Xóa
- Label: Bạn có chắc chắn muốn xóa thương hiệu {Tên thương hiệu}? Hành động này không thể hoàn tác</t>
  </si>
  <si>
    <t>Kiểm tra validate button Hủy</t>
  </si>
  <si>
    <t>Thương hiệu chưa được sử dụng</t>
  </si>
  <si>
    <t>Tại Dialog xác nhận xóa 
1. Click button Hủy
2. Kiểm tra thao tác</t>
  </si>
  <si>
    <t>2. Đóng dialog thành công
- Bản ghi không bị xóa</t>
  </si>
  <si>
    <t>Thương hiệu đã có sản phẩm</t>
  </si>
  <si>
    <t>Kiểm tra validate button Xóa</t>
  </si>
  <si>
    <t>Tại Dialog xác nhận xóa 
1. Click button Xóa
2. Kiểm tra thao tác</t>
  </si>
  <si>
    <t>2. Đóng dialog thành công
- Bản ghi bị xóa</t>
  </si>
  <si>
    <t>2. Báo lỗi "Thương hiệu đã được sử dụng, không được xóa"</t>
  </si>
  <si>
    <t>Kiểm tra chức năng xóa</t>
  </si>
  <si>
    <t>Xóa thương hiệu thành công</t>
  </si>
  <si>
    <t>2. Có toast message "Xóa thương hiệu thành công"</t>
  </si>
  <si>
    <t>2. Thương hiệu không còn hiển thị ở các màn hình liên quan
- Quản lý sản phẩm</t>
  </si>
  <si>
    <t>3. Kiểm tra cập nhật trong Database</t>
  </si>
  <si>
    <t>3. Cập nhật trạng thái isDeleted = True
bảng: Brands</t>
  </si>
  <si>
    <t>Quản lý danh mục</t>
  </si>
  <si>
    <t>Categories</t>
  </si>
  <si>
    <t>Danh sách danh mục</t>
  </si>
  <si>
    <t>1. Truy cập màn hình Quản lý danh mục
2. Kiểm tra giao diện màn hình chức năng so với thiết kế</t>
  </si>
  <si>
    <t>2. Hiển thị giao diện màn hình chức năng đúng với thiết kế
Figma: 
- Title: Quản lý danh mục
- Button: Thêm danh mục
- Textbox tìm kiếm
- Gird danh sách danh mục</t>
  </si>
  <si>
    <t>Kiểm tra hiển thị danh sách danh mục</t>
  </si>
  <si>
    <t>Không có dữ liệu danh mục</t>
  </si>
  <si>
    <t>Tại màn hình quản lý danh mục
1. Kiểm tra gird danh mục trên màn hình</t>
  </si>
  <si>
    <t>1. Hiển thị thông báo "Không có danh mục phù hợp"</t>
  </si>
  <si>
    <t>Có dữ liệu danh mục</t>
  </si>
  <si>
    <t>1. Hiển thị card thông tin danh mục gồm 
- icon danh mục
- Tên danh mục
- Mô tả
- Trạng thái
- icon edit
- icon delete</t>
  </si>
  <si>
    <t>Tại màn hình quản lý danh mục
1. Kiểm tra trường Tìm kiếm</t>
  </si>
  <si>
    <t>1. Hiển thị place holder text "Tìm kiếm theo tên hoặc mô tả danh mục"</t>
  </si>
  <si>
    <t>Kiểm tra validate trường Tìm kiếm theo tên danh mục</t>
  </si>
  <si>
    <t>Nhập danh mục đang hoạt động</t>
  </si>
  <si>
    <t>Tại màn hình quản lý danh mục
1. Nhập thông tin tìm kiếm như kịch bản test
2. Kiểm tra kết quả tìm kiếm</t>
  </si>
  <si>
    <t>Nhập danh mục không hoạt động</t>
  </si>
  <si>
    <t>Nhập danh mục đã bị xóa</t>
  </si>
  <si>
    <t>Nhập danh mục không tồn tại</t>
  </si>
  <si>
    <t>2. Hiển thị danh sách danh mục theo keyword</t>
  </si>
  <si>
    <t>2. Hiển thị đúng dữ liệu trong db
SQL: SELECT * FROM categories WHERE name = '' OR description='' AND active = true AND delete_at is null</t>
  </si>
  <si>
    <t>2. Hiển thị đúng dữ liệu trong db
SQL: SELECT * FROM categories WHERE name = '' AND active = false AND delete_at is null</t>
  </si>
  <si>
    <t>2. Báo lỗi "Không tìm thấy danh mục phù hợp"</t>
  </si>
  <si>
    <r>
      <rPr>
        <color rgb="FF1155CC"/>
        <u/>
      </rPr>
      <t>QAT-251</t>
    </r>
  </si>
  <si>
    <t>2. Hiển thị đúng dữ liệu trong db
SQL: SELECT * FROM categories WHERE name = '' AND active = false AND delete_at not null</t>
  </si>
  <si>
    <t>Kiểm tra button Thêm danh mục</t>
  </si>
  <si>
    <t>Tại màn hình quản lý danh mục
1. Click button Thêm mới
2. Kiểm tra thao tác</t>
  </si>
  <si>
    <t>Tại màn hình quản lý danh mục
1. Click icon edit trên bản ghi
2. Kiểm tra thao tác</t>
  </si>
  <si>
    <t>Tại màn hình quản lý danh mục
1. Click icon delete trên bản ghi
2. Kiểm tra thao tác</t>
  </si>
  <si>
    <t>Thêm mới danh mục</t>
  </si>
  <si>
    <t>Tại màn hình quản lý danh mục
1. Click button "Thêm danh mục"
2. Kiểm tra giao diện màn hình chức năng so với thiết kế</t>
  </si>
  <si>
    <t>2. Hiển thị giao diện màn hình chức năng đúng với thiết kế
Figma: 
- Title: Thêm danh mục
- Button: Hủy, Lưu
- Textbox Tên danh mục *
- Text Area Mô tả danh mục
- Upload ảnh
- Checkbox Hoạt động</t>
  </si>
  <si>
    <t>Kiểm tra giá trị trường Tên danh mục</t>
  </si>
  <si>
    <t>Tại màn hình thêm mới danh mục
1. Kiểm tra giá trị mặc định trường Tên danh mục</t>
  </si>
  <si>
    <t>1. Tên danh mục mặc định trống</t>
  </si>
  <si>
    <t>1. Hiển thị place holder text "Nhập tên danh mục"</t>
  </si>
  <si>
    <t>Kiểm tra giá trị checkbox Hoạt động</t>
  </si>
  <si>
    <t>Tại màn hình thêm mới danh mục
1. Kiểm tra giá trị mặc định trường checkbox Hoạt động</t>
  </si>
  <si>
    <t>1. Giá trị mặc định là Checked</t>
  </si>
  <si>
    <t>Kiểm tra validate trường Tên danh mục</t>
  </si>
  <si>
    <t>Nhập tên danh mục hợp lệ</t>
  </si>
  <si>
    <t>Nhập tên &lt; 255 ký tự</t>
  </si>
  <si>
    <t>Tại màn hình thêm mới danh mục
1. Nhập thông tin trường dữ liệu như kịch bản test 
2. Click Lưu</t>
  </si>
  <si>
    <t>2. Lưu danh mục thành công</t>
  </si>
  <si>
    <t>Nhập tên = 255 ký tự</t>
  </si>
  <si>
    <t>Nhập tên danh mục không hợp lệ</t>
  </si>
  <si>
    <t>2. Báo lỗi "Tên danh mục không được để trống"</t>
  </si>
  <si>
    <t>2. Báo lỗi "Tên danh mục đã tồn tại"</t>
  </si>
  <si>
    <t>Nhập tên &gt; 255 ký tự</t>
  </si>
  <si>
    <t>2. Báo lỗi "Tên danh mục không hợp lệ"</t>
  </si>
  <si>
    <t>Kiểm tra validate trường Ghi chú</t>
  </si>
  <si>
    <t>Nhập ghi chú hợp lệ</t>
  </si>
  <si>
    <t>Nhập &lt; 1000 ký tự</t>
  </si>
  <si>
    <t>2. Nhập ghi chú thành công</t>
  </si>
  <si>
    <t>Nhập = 1000 ký tự</t>
  </si>
  <si>
    <t>Nhập ghi chú không hợp lệ</t>
  </si>
  <si>
    <t>Nhập &gt; 1000 ký tự</t>
  </si>
  <si>
    <t>2. Báo lỗi "Ghi chú chỉ được nhập tối đa 1000 ký tự"</t>
  </si>
  <si>
    <t>Kiểm tra validate trường Ảnh</t>
  </si>
  <si>
    <t>Chọn ảnh hợp lệ</t>
  </si>
  <si>
    <t>Chọn ảnh đúng định dạng image</t>
  </si>
  <si>
    <t>2. Upload ảnh thành công</t>
  </si>
  <si>
    <t>Chọn ảnh dưới 5M</t>
  </si>
  <si>
    <t>Xóa ảnh</t>
  </si>
  <si>
    <t>Tại màn hình thêm mới danh mục
1. Chọn ảnh hợp lệ
2. Click Xóa ảnh</t>
  </si>
  <si>
    <t>2. Xóa ảnh thành công</t>
  </si>
  <si>
    <t>Chọn ảnh không hợp lệ</t>
  </si>
  <si>
    <t>Chọn file không phải định dạng image</t>
  </si>
  <si>
    <t>2. Báo lỗi định dạng không hợp lệ</t>
  </si>
  <si>
    <t>Chọn ảnh &gt;= 5M</t>
  </si>
  <si>
    <t>2. Báo lỗi dung lượng quá 5M</t>
  </si>
  <si>
    <t>Kiểm tra validate trường Hoạt động</t>
  </si>
  <si>
    <t>Kiểm tra check chọn</t>
  </si>
  <si>
    <t>Uncheck checkbox</t>
  </si>
  <si>
    <t>Tại màn hình thêm mới danh mục
1. Uncheck checkbox hoạt động</t>
  </si>
  <si>
    <t>1. Uncheck thành công</t>
  </si>
  <si>
    <t>Checked chọn checkbox</t>
  </si>
  <si>
    <t>Tại màn hình thêm mới danh mục
1. Checked checkbox hoạt động</t>
  </si>
  <si>
    <t>1. Checked thành công</t>
  </si>
  <si>
    <t>Tại màn hình thêm mới danh mục
1. Nhập thông tin hợp lệ 
2. Click Lưu</t>
  </si>
  <si>
    <t>2. Thêm mới danh mục thành công 
- Hiển thị toast thông báo "Thêm mới danh mục thành công"</t>
  </si>
  <si>
    <t>2. Hiển thị thông tin danh mục đúng với dữ liệu thêm mới</t>
  </si>
  <si>
    <t>3. Thông tin insert vào database thành công 
- bảng categories</t>
  </si>
  <si>
    <t>Đã nhập thông tin danh mục</t>
  </si>
  <si>
    <t>Tại màn hình thêm mới danh mục
1. Nhập thông tin hợp lệ 
2. Click Hủy</t>
  </si>
  <si>
    <t>2. Hiển thị dia log confirm "Bạn muốn hủy thêm mới danh mục ?"</t>
  </si>
  <si>
    <t>3. Đóng popup thêm mới, quay về màn hình danh sách
- Không thêm mới danh mục</t>
  </si>
  <si>
    <t>Chưa nhập thông tin danh mục</t>
  </si>
  <si>
    <t>Tại màn hình thêm mới danh mục
1. Không nhập thông tin 
2. Click Hủy</t>
  </si>
  <si>
    <t>Chỉnh sửa danh mục</t>
  </si>
  <si>
    <t>Tại màn hình quản lý danh mục
1. Click icon edit trên danh mục
2. Kiểm tra giao diện màn hình chức năng so với thiết kế</t>
  </si>
  <si>
    <t>2. Hiển thị giao diện màn hình chức năng đúng với thiết kế
Figma: 
- Title: Sửa danh mục
- Textbox Tên danh mục *
- Text area Mô tả danh mục
- Ảnh danh mục
- Icon Xóa ảnh
- Checkbox Hoạt động
- Button: Hủy, Lưu</t>
  </si>
  <si>
    <t>Tại màn hình thêm mới danh mục
1. Kiểm tra giá trị mặc định trường của danh mục</t>
  </si>
  <si>
    <t>1. Mặc định hiển thị thông tin danh mục hiện tại</t>
  </si>
  <si>
    <t>Xóa ảnh hiện tại</t>
  </si>
  <si>
    <t>Kiểm tra chức năng Sửa danh mục</t>
  </si>
  <si>
    <t>Tại màn hình sửa danh mục
1. Nhập thông tin hợp lệ 
2. Click Lưu</t>
  </si>
  <si>
    <t>2. Sửa danh mục thành công 
- Hiển thị toast thông báo "Sửa danh mục thành công"</t>
  </si>
  <si>
    <t>2. Hiển thị thông tin danh mục đúng với dữ liệu vừa sửa</t>
  </si>
  <si>
    <t>3. Thông tin update vào database thành công 
- bảng categories</t>
  </si>
  <si>
    <t>4. Thông tin danh mục của sản phẩm thay đổi</t>
  </si>
  <si>
    <t>Tại màn hình sửa danh mục
1. Nhập thông tin hợp lệ 
2. Click Hủy</t>
  </si>
  <si>
    <t>2. Đóng popup sửa, quay về màn hình danh sách
- Thông tin danh mục không bị thay đổi</t>
  </si>
  <si>
    <t>Xóa danh mục</t>
  </si>
  <si>
    <t>Tại màn hình quản lý danh mục
1. Click icon delete trên danh mục
2. Kiểm tra giao diện màn hình chức năng so với thiết kế</t>
  </si>
  <si>
    <t>2. Hiển thị giao diện popup đúng với thiết kế
Figma: 
- Title: Xác nhận xóa danh mục
- Button: Hủy, Xóa
- Label: Bạn có chắc chắn muốn xóa danh mục {Tên danh mục}? Hành động này không thể hoàn tác</t>
  </si>
  <si>
    <t>danh mục chưa được sử dụng</t>
  </si>
  <si>
    <t>danh mục đã có sản phẩm</t>
  </si>
  <si>
    <t>2. Báo lỗi "danh mục đã được sử dụng, không được xóa"</t>
  </si>
  <si>
    <t>Xóa danh mục thành công</t>
  </si>
  <si>
    <t>2. Có toast message "Xóa danh mục thành công"</t>
  </si>
  <si>
    <t>2. danh mục không còn hiển thị ở các màn hình liên quan
- Quản lý sản phẩm</t>
  </si>
  <si>
    <t>3. Cập nhật trạng thái isDeleted = True
bảng: categories</t>
  </si>
  <si>
    <t>soft deleted</t>
  </si>
  <si>
    <t>Quản lý giỏ hàng</t>
  </si>
  <si>
    <t>Danh sách giỏ hàng</t>
  </si>
  <si>
    <t>Kiểm tra giao diện chức năng</t>
  </si>
  <si>
    <t>Kiểm tra giao diện với thiết kế</t>
  </si>
  <si>
    <t>1. Truy cập màn hình quản lý giỏ hàng
2. Kiểm tra giao diện màn hình danh sách giỏ hàng</t>
  </si>
  <si>
    <t xml:space="preserve">2. Giỏ hàng hiển thị đúng với design
Figma: </t>
  </si>
  <si>
    <t>Không tìm thấy danh mục phù hợp</t>
  </si>
  <si>
    <t>Tên</t>
  </si>
  <si>
    <t>Hợp lệ</t>
  </si>
  <si>
    <t>Không trống</t>
  </si>
  <si>
    <t>Nhập 99 ký tự (&lt;100 ký tự)</t>
  </si>
  <si>
    <t>Nhập 100 ký tự</t>
  </si>
  <si>
    <t>5345612%$!52647</t>
  </si>
  <si>
    <t>Không hợp lệ</t>
  </si>
  <si>
    <t>Mã</t>
  </si>
  <si>
    <t>Giá</t>
  </si>
  <si>
    <t>FUnction</t>
  </si>
  <si>
    <t>Đại lý</t>
  </si>
  <si>
    <t>Chi tiết</t>
  </si>
  <si>
    <t>TTC</t>
  </si>
  <si>
    <t>Xoá</t>
  </si>
  <si>
    <t>Thêm mới</t>
  </si>
  <si>
    <t>Kiểm tra giao diện đúng thiết kế</t>
  </si>
  <si>
    <t>Đúng với thiết kế</t>
  </si>
  <si>
    <t>Đúng style: font style, font color, font size</t>
  </si>
  <si>
    <t>Các trường căn chỉnh thẳng hàng</t>
  </si>
  <si>
    <t>Layout không bị vỡ</t>
  </si>
  <si>
    <t>Đúng ngữ pháp, nội dung</t>
  </si>
  <si>
    <t>Kiểm tra mặc định trường Tên</t>
  </si>
  <si>
    <t>Kiểm tra mặc định trường checkbox</t>
  </si>
  <si>
    <t>Mặc định là checked</t>
  </si>
  <si>
    <t>Kiểm tra validate dữ liệu</t>
  </si>
  <si>
    <t>Kiểm tra trường Tên danh mục</t>
  </si>
  <si>
    <t>Nhập Tên danh mục hợp lệ</t>
  </si>
  <si>
    <t>Nhập &lt;255 ký tự</t>
  </si>
  <si>
    <t>Tại popop thêm mới Danh mục
1. Nhập tên danh mục &lt; 255 ký tự
2. Kiểm tra hoạt động</t>
  </si>
  <si>
    <t>2. Cho phép nhập</t>
  </si>
  <si>
    <t>Nhập = 255 ký tự</t>
  </si>
  <si>
    <t>Tại popop thêm mới Danh mục
1. Nhập tên danh mục = 255 ký tự
2. Kiểm tra hoạt động</t>
  </si>
  <si>
    <t>Nhập Tên danh mục không hợp lệ</t>
  </si>
  <si>
    <t xml:space="preserve">Không nhập </t>
  </si>
  <si>
    <t>Nhập &gt; 255 ký tự</t>
  </si>
  <si>
    <t>Nhập emotion</t>
  </si>
  <si>
    <t>Kiểm tra trường Mô tả</t>
  </si>
  <si>
    <t>Nhập Mô tả hợp lệ</t>
  </si>
  <si>
    <t>Nhập Mô tả không hợp lệ</t>
  </si>
  <si>
    <t>Kiểm tra trường Ảnh danh mục</t>
  </si>
  <si>
    <t>Upload ảnh hợp lệ</t>
  </si>
  <si>
    <t>Upload ảnh không hợp lệ</t>
  </si>
  <si>
    <t>Kiểm tra trường Checkbox Hoạt động</t>
  </si>
  <si>
    <t>Kiểm tra button</t>
  </si>
  <si>
    <t>Button Lưu</t>
  </si>
  <si>
    <t>Button Huỷ</t>
  </si>
  <si>
    <t>Chỉnh sửa</t>
  </si>
  <si>
    <t>Loại khuyến mại</t>
  </si>
  <si>
    <t>https://app.mindmup.com/map/_free/2026/04/82ee17e038d411f182adb14e9429b705</t>
  </si>
  <si>
    <t>Giá trị KM</t>
  </si>
  <si>
    <t>Phân vùng tương đương</t>
  </si>
  <si>
    <t>Đơn hàng tối thiểu</t>
  </si>
  <si>
    <t>Giá trị biên</t>
  </si>
  <si>
    <t>TG Bắt đầu</t>
  </si>
  <si>
    <t>TG Kết thúc</t>
  </si>
  <si>
    <t>KÍch hoạt</t>
  </si>
  <si>
    <t>Bảng quyết định</t>
  </si>
  <si>
    <t>KQ Mong muống</t>
  </si>
  <si>
    <t>TC1</t>
  </si>
  <si>
    <t>%</t>
  </si>
  <si>
    <t>Bằng tổng HĐ</t>
  </si>
  <si>
    <t>100đ</t>
  </si>
  <si>
    <t>T</t>
  </si>
  <si>
    <t>TC2</t>
  </si>
  <si>
    <t>&gt;100đ</t>
  </si>
  <si>
    <t>TC3</t>
  </si>
  <si>
    <t>&lt; tổng HĐ</t>
  </si>
  <si>
    <t>TC4</t>
  </si>
  <si>
    <t>TC5</t>
  </si>
  <si>
    <t>Số tiền</t>
  </si>
  <si>
    <t>TC6</t>
  </si>
  <si>
    <t>TC7</t>
  </si>
  <si>
    <t>TC8</t>
  </si>
  <si>
    <t>TC9</t>
  </si>
  <si>
    <t>MP Vận chuyển</t>
  </si>
  <si>
    <t>TC10</t>
  </si>
  <si>
    <t>TC11</t>
  </si>
  <si>
    <t>TC12</t>
  </si>
  <si>
    <t>GUI</t>
  </si>
  <si>
    <t>API ???</t>
  </si>
  <si>
    <t>DB.Tables (Categories)</t>
  </si>
  <si>
    <t>name</t>
  </si>
  <si>
    <t>Mô tả</t>
  </si>
  <si>
    <t>description</t>
  </si>
  <si>
    <t>active</t>
  </si>
  <si>
    <t>ẢNh</t>
  </si>
  <si>
    <t>image_url</t>
  </si>
  <si>
    <t>id</t>
  </si>
  <si>
    <t>T %</t>
  </si>
  <si>
    <t>T 10%</t>
  </si>
  <si>
    <t>F 10%</t>
  </si>
  <si>
    <t>Sồ tiền KM tối đa</t>
  </si>
  <si>
    <t>20k</t>
  </si>
  <si>
    <t>500k</t>
  </si>
  <si>
    <t>T 500k</t>
  </si>
  <si>
    <t>F 499k</t>
  </si>
  <si>
    <t>450k</t>
  </si>
  <si>
    <t>499k</t>
  </si>
  <si>
    <t>Kích hoạt</t>
  </si>
  <si>
    <t>F</t>
  </si>
  <si>
    <t>Bắt đầu</t>
  </si>
  <si>
    <t>Kết thúc</t>
  </si>
  <si>
    <t>Use</t>
  </si>
  <si>
    <t>Not Use</t>
  </si>
  <si>
    <t>U</t>
  </si>
  <si>
    <t>Not</t>
  </si>
  <si>
    <t>{</t>
  </si>
  <si>
    <t>content: [</t>
  </si>
  <si>
    <t>id: "11111111-0003-0003-0003-000000000003",</t>
  </si>
  <si>
    <t>sku: "CAM-CAN-5D4-BODY",</t>
  </si>
  <si>
    <t>name: "Canon EOS 5D Mark IV Body",</t>
  </si>
  <si>
    <t>listedPrice: 85000000.00,</t>
  </si>
  <si>
    <t>price: 80000000.00,</t>
  </si>
  <si>
    <t>thumbnailUrl: "https://placehold.co/600x400/png?text=Canon+5D+Mark+IV",</t>
  </si>
  <si>
    <t>availableStock: 6,</t>
  </si>
  <si>
    <t>inStock: true,</t>
  </si>
  <si>
    <t>category: {</t>
  </si>
  <si>
    <t>id: 1,</t>
  </si>
  <si>
    <t>name: "Máy ảnh DSLR",</t>
  </si>
  <si>
    <t>imageUrl: "https://placehold.co/400x300/png?text=DSLR",</t>
  </si>
  <si>
    <t>description: "Máy ảnh phản xạ ống kính đơn, chất lượng cao cho nhiếp ảnh gia chuyên nghiệp và bán chuyên.",</t>
  </si>
  <si>
    <t>active: true</t>
  </si>
  <si>
    <t>},</t>
  </si>
  <si>
    <t>brand: {</t>
  </si>
  <si>
    <t>name: "Canon 1"</t>
  </si>
  <si>
    <t>rating: 4.9,</t>
  </si>
  <si>
    <t>reviewCount: 0</t>
  </si>
  <si>
    <t>id: "11111111-0004-0004-0004-000000000004",</t>
  </si>
  <si>
    <t>sku: "CAM-NIK-D7500-BODY",</t>
  </si>
  <si>
    <t>name: "Nikon D7500 Body",</t>
  </si>
  <si>
    <t>listedPrice: 28500000.00,</t>
  </si>
  <si>
    <t>price: 26500000.00,</t>
  </si>
  <si>
    <t>thumbnailUrl: "https://placehold.co/600x400/png?text=Nikon+D7500",</t>
  </si>
  <si>
    <t>availableStock: 18,</t>
  </si>
  <si>
    <t>id: 2,</t>
  </si>
  <si>
    <t>name: "Nikon"</t>
  </si>
  <si>
    <t>rating: 4.6,</t>
  </si>
  <si>
    <t>id: "11111111-0005-0005-0005-000000000005",</t>
  </si>
  <si>
    <t>sku: "CAM-NIK-D850-BODY",</t>
  </si>
  <si>
    <t>name: "Nikon D850 Body",</t>
  </si>
  <si>
    <t>listedPrice: 75000000.00,</t>
  </si>
  <si>
    <t>price: 70000000.00,</t>
  </si>
  <si>
    <t>thumbnailUrl: "https://placehold.co/600x400/png?text=Nikon+D850",</t>
  </si>
  <si>
    <t>availableStock: 4,</t>
  </si>
  <si>
    <t>id: "11111111-0006-0006-0006-000000000006",</t>
  </si>
  <si>
    <t>sku: "CAM-SNY-A7IV-BODY",</t>
  </si>
  <si>
    <t>name: "Sony A7 IV Body",</t>
  </si>
  <si>
    <t>listedPrice: 52000000.00,</t>
  </si>
  <si>
    <t>price: 48000000.00,</t>
  </si>
  <si>
    <t>thumbnailUrl: "https://placehold.co/600x400/png?text=Sony+A7+IV",</t>
  </si>
  <si>
    <t>availableStock: 14,</t>
  </si>
  <si>
    <t>name: "Máy ảnh Mirrorless",</t>
  </si>
  <si>
    <t>imageUrl: "https://placehold.co/400x300/png?text=Mirrorless",</t>
  </si>
  <si>
    <t>description: "Máy ảnh không gương lật hiện đại, nhỏ gọn với chất lượng hình ảnh vượt trội.",</t>
  </si>
  <si>
    <t>id: 3,</t>
  </si>
  <si>
    <t>name: "Sony"</t>
  </si>
  <si>
    <t>rating: 4.8,</t>
  </si>
  <si>
    <t>id: "11111111-0007-0007-0007-000000000007",</t>
  </si>
  <si>
    <t>sku: "CAM-SNY-ZVE10-KIT",</t>
  </si>
  <si>
    <t>name: "Sony ZV-E10 Kit 16-50mm",</t>
  </si>
  <si>
    <t>listedPrice: 26500000.00,</t>
  </si>
  <si>
    <t>price: 24500000.00,</t>
  </si>
  <si>
    <t>thumbnailUrl: "https://placehold.co/600x400/png?text=Sony+ZV-E10",</t>
  </si>
  <si>
    <t>availableStock: 25,</t>
  </si>
  <si>
    <t>rating: 4.4,</t>
  </si>
  <si>
    <t>id: "11111111-0008-0008-0008-000000000008",</t>
  </si>
  <si>
    <t>sku: "CAM-SNY-A1-BODY",</t>
  </si>
  <si>
    <t>name: "Sony A1 Body",</t>
  </si>
  <si>
    <t>listedPrice: 120000000.00,</t>
  </si>
  <si>
    <t>price: 115000000.00,</t>
  </si>
  <si>
    <t>thumbnailUrl: "https://placehold.co/600x400/png?text=Sony+A1",</t>
  </si>
  <si>
    <t>availableStock: 3,</t>
  </si>
  <si>
    <t>rating: 5.0,</t>
  </si>
  <si>
    <t>id: "11111111-0009-0009-0009-000000000009",</t>
  </si>
  <si>
    <t>sku: "CAM-FUJ-XT5-BODY",</t>
  </si>
  <si>
    <t>name: "Fujifilm X-T5 Body",</t>
  </si>
  <si>
    <t>listedPrice: 46000000.00,</t>
  </si>
  <si>
    <t>price: 43000000.00,</t>
  </si>
  <si>
    <t>thumbnailUrl: "https://placehold.co/600x400/png?text=Fujifilm+X-T5",</t>
  </si>
  <si>
    <t>availableStock: 10,</t>
  </si>
  <si>
    <t>id: 4,</t>
  </si>
  <si>
    <t>name: "Fujifilm"</t>
  </si>
  <si>
    <t>rating: 4.7,</t>
  </si>
  <si>
    <t>id: "11111111-0010-0010-0010-000000000010",</t>
  </si>
  <si>
    <t>sku: "CAM-FUJ-XS20-BODY",</t>
  </si>
  <si>
    <t>name: "Fujifilm X-S20 Body",</t>
  </si>
  <si>
    <t>listedPrice: 20000000.00,</t>
  </si>
  <si>
    <t>price: 18500000.00,</t>
  </si>
  <si>
    <t>thumbnailUrl: "https://placehold.co/600x400/png?text=Fujifilm+X-S20",</t>
  </si>
  <si>
    <t>availableStock: 19,</t>
  </si>
  <si>
    <t>rating: 4.5,</t>
  </si>
  <si>
    <t>id: "11111111-0011-0011-0011-000000000011",</t>
  </si>
  <si>
    <t>sku: "LENS-CAN-RF2470-F28",</t>
  </si>
  <si>
    <t>name: "Canon RF 24-70mm f/2.8L IS USM",</t>
  </si>
  <si>
    <t>listedPrice: 22000000.00,</t>
  </si>
  <si>
    <t>price: 20500000.00,</t>
  </si>
  <si>
    <t>thumbnailUrl: "https://placehold.co/600x400/png?text=Canon+RF+24-70+f2.8",</t>
  </si>
  <si>
    <t>availableStock: 9,</t>
  </si>
  <si>
    <t>name: "Ống kính",</t>
  </si>
  <si>
    <t>imageUrl: "https://placehold.co/400x300/png?text=Lens",</t>
  </si>
  <si>
    <t>description: "Ống kính chất lượng cao cho mọi nhu cầu chụp ảnh từ góc rộng đến tele.",</t>
  </si>
  <si>
    <t>id: "11111111-0012-0012-0012-000000000012",</t>
  </si>
  <si>
    <t>sku: "LENS-CAN-EF50-F14",</t>
  </si>
  <si>
    <t>name: "Canon EF 50mm f/1.4 USM",</t>
  </si>
  <si>
    <t>listedPrice: 11000000.00,</t>
  </si>
  <si>
    <t>price: 9500000.00,</t>
  </si>
  <si>
    <t>thumbnailUrl: "https://placehold.co/600x400/png?text=Canon+EF+50mm+f1.4",</t>
  </si>
  <si>
    <t>availableStock: 35,</t>
  </si>
  <si>
    <t>id: "11111111-0013-0013-0013-000000000013",</t>
  </si>
  <si>
    <t>sku: "LENS-SNY-FE2470-GM2",</t>
  </si>
  <si>
    <t>name: "Sony FE 24-70mm f/2.8 GM II",</t>
  </si>
  <si>
    <t>listedPrice: 35000000.00,</t>
  </si>
  <si>
    <t>price: 33000000.00,</t>
  </si>
  <si>
    <t>thumbnailUrl: "https://placehold.co/600x400/png?text=Sony+FE+24-70+GM2",</t>
  </si>
  <si>
    <t>availableStock: 5,</t>
  </si>
  <si>
    <t>id: "11111111-0014-0014-0014-000000000014",</t>
  </si>
  <si>
    <t>sku: "LENS-SIG-35-F14-SONY",</t>
  </si>
  <si>
    <t>name: "Sigma 35mm f/1.4 DG DN Art (Sony E)",</t>
  </si>
  <si>
    <t>listedPrice: 8500000.00,</t>
  </si>
  <si>
    <t>price: 7800000.00,</t>
  </si>
  <si>
    <t>thumbnailUrl: "https://placehold.co/600x400/png?text=Sigma+35mm+f1.4+Art",</t>
  </si>
  <si>
    <t>availableStock: 31,</t>
  </si>
  <si>
    <t>id: 8,</t>
  </si>
  <si>
    <t>name: "Sigma"</t>
  </si>
  <si>
    <t>id: "11111111-0002-0002-0002-000000000002",</t>
  </si>
  <si>
    <t>sku: "CAM-CAN-250D-KIT",</t>
  </si>
  <si>
    <t>name: "Canon EOS 250D Kit 18-55mm",</t>
  </si>
  <si>
    <t>listedPrice: 18990000.00,</t>
  </si>
  <si>
    <t>price: 16990000.00,</t>
  </si>
  <si>
    <t>thumbnailUrl: "https://lbvfundnqcsadngwhzke.supabase.co/storage/v1/object/public/products/thumbnails/f6430b48-b089-4fcb-b1f9-7e174a397aec.webp",</t>
  </si>
  <si>
    <t>availableStock: 20,</t>
  </si>
  <si>
    <t>id: "11111111-0015-0015-0015-000000000015",</t>
  </si>
  <si>
    <t>sku: "LENS-TAM-2875-G2-SONY",</t>
  </si>
  <si>
    <t>name: "Tamron 28-75mm f/2.8 Di III VXD G2 (Sony E)",</t>
  </si>
  <si>
    <t>listedPrice: 16500000.00,</t>
  </si>
  <si>
    <t>price: 14500000.00,</t>
  </si>
  <si>
    <t>thumbnailUrl: "https://placehold.co/600x400/png?text=Tamron+28-75+G2",</t>
  </si>
  <si>
    <t>id: 9,</t>
  </si>
  <si>
    <t>name: "Tamron"</t>
  </si>
  <si>
    <t>id: "11111111-0016-0016-0016-000000000016",</t>
  </si>
  <si>
    <t>sku: "FLASH-GDX-V860III",</t>
  </si>
  <si>
    <t>name: "Godox V860III TTL Flash",</t>
  </si>
  <si>
    <t>listedPrice: 4200000.00,</t>
  </si>
  <si>
    <t>price: 3800000.00,</t>
  </si>
  <si>
    <t>thumbnailUrl: "https://placehold.co/600x400/png?text=Godox+V860III",</t>
  </si>
  <si>
    <t>availableStock: 42,</t>
  </si>
  <si>
    <t>name: "Đèn Flash &amp; Ánh sáng",</t>
  </si>
  <si>
    <t>imageUrl: "https://placehold.co/400x300/png?text=Flash",</t>
  </si>
  <si>
    <t>description: "Đèn flash và thiết bị chiếu sáng chuyên nghiệp cho studio và outdoor.",</t>
  </si>
  <si>
    <t>id: 10,</t>
  </si>
  <si>
    <t>name: "Godox"</t>
  </si>
  <si>
    <t>id: "11111111-0017-0017-0017-000000000017",</t>
  </si>
  <si>
    <t>sku: "FLASH-GDX-AD200PRO",</t>
  </si>
  <si>
    <t>name: "Godox AD200Pro Portable Flash 200W",</t>
  </si>
  <si>
    <t>listedPrice: 9500000.00,</t>
  </si>
  <si>
    <t>price: 8800000.00,</t>
  </si>
  <si>
    <t>thumbnailUrl: "https://placehold.co/600x400/png?text=Godox+AD200Pro",</t>
  </si>
  <si>
    <t>id: "11111111-0018-0018-0018-000000000018",</t>
  </si>
  <si>
    <t>sku: "FLASH-GDX-SK400II-KIT2",</t>
  </si>
  <si>
    <t>name: "Bộ Đèn Studio Godox SK400II Kit (2 đèn)",</t>
  </si>
  <si>
    <t>listedPrice: 32000000.00,</t>
  </si>
  <si>
    <t>price: 29000000.00,</t>
  </si>
  <si>
    <t>thumbnailUrl: "https://placehold.co/600x400/png?text=Godox+SK400II+Kit",</t>
  </si>
  <si>
    <t>id: "11111111-0019-0019-0019-000000000019",</t>
  </si>
  <si>
    <t>sku: "BAG-LPR-PROTACTIC450",</t>
  </si>
  <si>
    <t>name: "Balo Lowepro ProTactic 450 AW II",</t>
  </si>
  <si>
    <t>listedPrice: 1850000.00,</t>
  </si>
  <si>
    <t>price: 1650000.00,</t>
  </si>
  <si>
    <t>thumbnailUrl: "https://placehold.co/600x400/png?text=Lowepro+ProTactic+450",</t>
  </si>
  <si>
    <t>availableStock: 13,</t>
  </si>
  <si>
    <t>id: 5,</t>
  </si>
  <si>
    <t>name: "Túi &amp; Balo Máy Ảnh",</t>
  </si>
  <si>
    <t>imageUrl: "https://placehold.co/400x300/png?text=Bag",</t>
  </si>
  <si>
    <t>description: "Túi, balo, hộp đựng máy ảnh bảo vệ thiết bị an toàn khi di chuyển.",</t>
  </si>
  <si>
    <t>name: "Panasonic"</t>
  </si>
  <si>
    <t>id: "11111111-0020-0020-0020-000000000020",</t>
  </si>
  <si>
    <t>sku: "BAG-DMK-F803-CANVAS",</t>
  </si>
  <si>
    <t>name: "Túi Đeo Chéo Domke F-803 Canvas",</t>
  </si>
  <si>
    <t>listedPrice: 850000.00,</t>
  </si>
  <si>
    <t>price: 750000.00,</t>
  </si>
  <si>
    <t>thumbnailUrl: "https://placehold.co/600x400/png?text=Domke+F-803",</t>
  </si>
  <si>
    <t>availableStock: 26,</t>
  </si>
  <si>
    <t>rating: 4.3,</t>
  </si>
  <si>
    <t>id: "11111111-0021-0021-0021-000000000021",</t>
  </si>
  <si>
    <t>sku: "BAT-SNY-NPFZ100",</t>
  </si>
  <si>
    <t>name: "Pin Sony NP-FZ100 Chính Hãng",</t>
  </si>
  <si>
    <t>listedPrice: 680000.00,</t>
  </si>
  <si>
    <t>price: 580000.00,</t>
  </si>
  <si>
    <t>thumbnailUrl: "https://placehold.co/600x400/png?text=Sony+NP-FZ100",</t>
  </si>
  <si>
    <t>availableStock: 50,</t>
  </si>
  <si>
    <t>id: 6,</t>
  </si>
  <si>
    <t>name: "Pin &amp; Phụ Kiện",</t>
  </si>
  <si>
    <t>imageUrl: "https://placehold.co/400x300/png?text=Battery",</t>
  </si>
  <si>
    <t>description: "Pin, sạc, thẻ nhớ và phụ kiện năng lượng cho máy ảnh.",</t>
  </si>
  <si>
    <t>id: "11111111-0022-0022-0022-000000000022",</t>
  </si>
  <si>
    <t>sku: "MEM-SNY-CFA256-TOUGH",</t>
  </si>
  <si>
    <t>name: "Thẻ Nhớ Sony CFexpress Type A 256GB TOUGH",</t>
  </si>
  <si>
    <t>listedPrice: 2200000.00,</t>
  </si>
  <si>
    <t>price: 2000000.00,</t>
  </si>
  <si>
    <t>thumbnailUrl: "https://placehold.co/600x400/png?text=Sony+CFexpress+256GB",</t>
  </si>
  <si>
    <t>availableStock: 39,</t>
  </si>
  <si>
    <t>id: "11111111-0023-0023-0023-000000000023",</t>
  </si>
  <si>
    <t>sku: "TRP-GTZ-GT1545T",</t>
  </si>
  <si>
    <t>name: "Chân Máy Gitzo GT1545T Series 1 Traveler Carbon",</t>
  </si>
  <si>
    <t>listedPrice: 5500000.00,</t>
  </si>
  <si>
    <t>price: 5000000.00,</t>
  </si>
  <si>
    <t>thumbnailUrl: "https://placehold.co/600x400/png?text=Gitzo+GT1545T",</t>
  </si>
  <si>
    <t>availableStock: 7,</t>
  </si>
  <si>
    <t>id: 7,</t>
  </si>
  <si>
    <t>name: "Chân Máy &amp; Gimbal",</t>
  </si>
  <si>
    <t>imageUrl: "https://placehold.co/400x300/png?text=Tripod",</t>
  </si>
  <si>
    <t>description: "Chân máy, đầu pan-tilt và thiết bị hỗ trợ ổn định hình ảnh.",</t>
  </si>
  <si>
    <t>id: "11111111-0024-0024-0024-000000000024",</t>
  </si>
  <si>
    <t>sku: "GIM-DJI-RS3PRO",</t>
  </si>
  <si>
    <t>name: "DJI RS 3 Pro Gimbal Stabilizer",</t>
  </si>
  <si>
    <t>listedPrice: 12000000.00,</t>
  </si>
  <si>
    <t>price: 10500000.00,</t>
  </si>
  <si>
    <t>thumbnailUrl: "https://placehold.co/600x400/png?text=DJI+RS3+Pro",</t>
  </si>
  <si>
    <t>availableStock: 8,</t>
  </si>
  <si>
    <t>id: "11111111-0025-0025-0025-000000000025",</t>
  </si>
  <si>
    <t>sku: "FLT-KFC-ND-VAR-77",</t>
  </si>
  <si>
    <t>name: "Filter ND Variable K&amp;F Concept 77mm ND2-ND400",</t>
  </si>
  <si>
    <t>listedPrice: 1500000.00,</t>
  </si>
  <si>
    <t>price: 1300000.00,</t>
  </si>
  <si>
    <t>thumbnailUrl: "https://placehold.co/600x400/png?text=K%26F+ND+Variable+77mm",</t>
  </si>
  <si>
    <t>availableStock: 48,</t>
  </si>
  <si>
    <t>name: "Bộ Lọc &amp; Filter",</t>
  </si>
  <si>
    <t>imageUrl: "https://placehold.co/400x300/png?text=Filter",</t>
  </si>
  <si>
    <t>description: "Bộ lọc ND, UV, CPL và các filter sáng tạo cho ống kính.",</t>
  </si>
  <si>
    <t>id: "11111111-0026-0026-0026-000000000026",</t>
  </si>
  <si>
    <t>sku: "FLT-BW-CPL-MRC-77",</t>
  </si>
  <si>
    <t>name: "Filter CPL B+W XS-Pro MRC Nano 77mm",</t>
  </si>
  <si>
    <t>listedPrice: 950000.00,</t>
  </si>
  <si>
    <t>price: 850000.00,</t>
  </si>
  <si>
    <t>thumbnailUrl: "https://placehold.co/600x400/png?text=B%2BW+CPL+77mm",</t>
  </si>
  <si>
    <t>availableStock: 62,</t>
  </si>
  <si>
    <t>id: "11111111-0027-0027-0027-000000000027",</t>
  </si>
  <si>
    <t>sku: "CAM-LEI-M11-BODY",</t>
  </si>
  <si>
    <t>name: "Leica M11 Body",</t>
  </si>
  <si>
    <t>listedPrice: 68000000.00,</t>
  </si>
  <si>
    <t>price: 65000000.00,</t>
  </si>
  <si>
    <t>thumbnailUrl: "https://placehold.co/600x400/png?text=Leica+M11",</t>
  </si>
  <si>
    <t>availableStock: 2,</t>
  </si>
  <si>
    <t>name: "Leica"</t>
  </si>
  <si>
    <t>id: "11111111-0028-0028-0028-000000000028",</t>
  </si>
  <si>
    <t>sku: "CAM-OLY-OM1MK2-BODY",</t>
  </si>
  <si>
    <t>name: "Olympus OM-1 Mark II Body",</t>
  </si>
  <si>
    <t>listedPrice: 38000000.00,</t>
  </si>
  <si>
    <t>price: 35000000.00,</t>
  </si>
  <si>
    <t>thumbnailUrl: "https://placehold.co/600x400/png?text=Olympus+OM-1+II",</t>
  </si>
  <si>
    <t>name: "Olympus"</t>
  </si>
  <si>
    <t>id: "11111111-0029-0029-0029-000000000029",</t>
  </si>
  <si>
    <t>sku: "LENS-SIG-1850-F28-SONY",</t>
  </si>
  <si>
    <t>name: "Sigma 18-50mm f/2.8 DC DN Contemporary (Sony E)",</t>
  </si>
  <si>
    <t>listedPrice: 3500000.00,</t>
  </si>
  <si>
    <t>price: 3200000.00,</t>
  </si>
  <si>
    <t>thumbnailUrl: "https://placehold.co/600x400/png?text=Sigma+18-50+f2.8",</t>
  </si>
  <si>
    <t>availableStock: 37,</t>
  </si>
  <si>
    <t>id: "11111111-0030-0030-0030-000000000030",</t>
  </si>
  <si>
    <t>sku: "LENS-PAN-S50-F18-LMNT",</t>
  </si>
  <si>
    <t>name: "Panasonic Lumix S 50mm f/1.8 (L-mount)",</t>
  </si>
  <si>
    <t>listedPrice: 4800000.00,</t>
  </si>
  <si>
    <t>price: 4200000.00,</t>
  </si>
  <si>
    <t>thumbnailUrl: "https://placehold.co/600x400/png?text=Panasonic+S+50mm",</t>
  </si>
  <si>
    <t>availableStock: 34,</t>
  </si>
  <si>
    <t>id: "11111111-0001-0001-0001-000000000001",</t>
  </si>
  <si>
    <t>sku: "CAM-CAN-90D-BODY",</t>
  </si>
  <si>
    <t>name: "Canon EOS 90D Body",</t>
  </si>
  <si>
    <t>listedPrice: 32990000.00,</t>
  </si>
  <si>
    <t>price: 30990000.00,</t>
  </si>
  <si>
    <t>thumbnailUrl: "https://lbvfundnqcsadngwhzke.supabase.co/storage/v1/object/public/products/thumbnails/68449a25-a37b-4db7-b670-8d051215905f.jpg",</t>
  </si>
  <si>
    <t>id: "afeeec42-b542-42fe-a9ff-a134edf5ce39",</t>
  </si>
  <si>
    <t>sku: "c",</t>
  </si>
  <si>
    <t>name: "Canon",</t>
  </si>
  <si>
    <t>listedPrice: 111.00,</t>
  </si>
  <si>
    <t>price: 2222.00,</t>
  </si>
  <si>
    <t>thumbnailUrl: "https://lbvfundnqcsadngwhzke.supabase.co/storage/v1/object/public/products/thumbnails/494b1fc6-7d17-470d-aac3-9960a8762008.jpg",</t>
  </si>
  <si>
    <t>availableStock: 0,</t>
  </si>
  <si>
    <t>inStock: false,</t>
  </si>
  <si>
    <t>rating: 0.0,</t>
  </si>
  <si>
    <t>}</t>
  </si>
  <si>
    <t>],</t>
  </si>
  <si>
    <t>page: {</t>
  </si>
  <si>
    <t>size: 100,</t>
  </si>
  <si>
    <t>number: 0,</t>
  </si>
  <si>
    <t>totalElements: 31,</t>
  </si>
  <si>
    <t>totalPages: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</si>
</sst>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0.0"/>
      <color theme="1"/>
      <name val="Times New Roman"/>
    </font>
    <font>
      <b/>
      <sz val="18.0"/>
      <color theme="1"/>
      <name val="Times New Roman"/>
    </font>
    <font/>
    <font>
      <b/>
      <sz val="22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6.0"/>
      <color theme="1"/>
      <name val="Times New Roman"/>
    </font>
    <font>
      <b/>
      <sz val="10.0"/>
      <color theme="1"/>
      <name val="Times New Roman"/>
    </font>
    <font>
      <sz val="11.0"/>
      <color theme="1"/>
      <name val="Times New Roman"/>
    </font>
    <font>
      <b/>
      <sz val="14.0"/>
      <color theme="1"/>
      <name val="Times New Roman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color rgb="FF0000FF"/>
    </font>
    <font>
      <color theme="1"/>
      <name val="Calibri"/>
      <scheme val="minor"/>
    </font>
    <font>
      <b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BDD7EE"/>
        <bgColor rgb="FFBDD7EE"/>
      </patternFill>
    </fill>
    <fill>
      <patternFill patternType="solid">
        <fgColor rgb="FFF4B083"/>
        <bgColor rgb="FFF4B083"/>
      </patternFill>
    </fill>
    <fill>
      <patternFill patternType="solid">
        <fgColor rgb="FFAEABAB"/>
        <bgColor rgb="FFAEABAB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4472C4"/>
        <bgColor rgb="FF4472C4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2" fontId="1" numFmtId="0" xfId="0" applyAlignment="1" applyBorder="1" applyFont="1">
      <alignment horizontal="left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6" numFmtId="0" xfId="0" applyAlignment="1" applyFont="1">
      <alignment horizontal="center" vertical="center"/>
    </xf>
    <xf borderId="2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5" fillId="3" fontId="9" numFmtId="0" xfId="0" applyAlignment="1" applyBorder="1" applyFill="1" applyFon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0" fontId="10" numFmtId="0" xfId="0" applyBorder="1" applyFont="1"/>
    <xf borderId="6" fillId="0" fontId="10" numFmtId="0" xfId="0" applyAlignment="1" applyBorder="1" applyFont="1">
      <alignment horizontal="center"/>
    </xf>
    <xf borderId="0" fillId="0" fontId="9" numFmtId="0" xfId="0" applyFont="1"/>
    <xf borderId="5" fillId="0" fontId="10" numFmtId="0" xfId="0" applyAlignment="1" applyBorder="1" applyFont="1">
      <alignment horizontal="center" vertical="top"/>
    </xf>
    <xf borderId="6" fillId="0" fontId="10" numFmtId="0" xfId="0" applyAlignment="1" applyBorder="1" applyFont="1">
      <alignment horizontal="left" shrinkToFit="0" vertical="top" wrapText="1"/>
    </xf>
    <xf borderId="5" fillId="0" fontId="10" numFmtId="0" xfId="0" applyAlignment="1" applyBorder="1" applyFont="1">
      <alignment horizontal="left" shrinkToFit="0" vertical="top" wrapText="1"/>
    </xf>
    <xf borderId="0" fillId="0" fontId="10" numFmtId="0" xfId="0" applyFont="1"/>
    <xf borderId="0" fillId="0" fontId="11" numFmtId="0" xfId="0" applyAlignment="1" applyFont="1">
      <alignment horizontal="center" vertical="center"/>
    </xf>
    <xf borderId="5" fillId="2" fontId="9" numFmtId="0" xfId="0" applyBorder="1" applyFont="1"/>
    <xf borderId="9" fillId="2" fontId="1" numFmtId="49" xfId="0" applyAlignment="1" applyBorder="1" applyFont="1" applyNumberFormat="1">
      <alignment horizontal="left"/>
    </xf>
    <xf borderId="10" fillId="2" fontId="1" numFmtId="49" xfId="0" applyAlignment="1" applyBorder="1" applyFont="1" applyNumberFormat="1">
      <alignment horizontal="left"/>
    </xf>
    <xf borderId="11" fillId="2" fontId="9" numFmtId="0" xfId="0" applyAlignment="1" applyBorder="1" applyFont="1">
      <alignment horizontal="center"/>
    </xf>
    <xf borderId="12" fillId="2" fontId="1" numFmtId="0" xfId="0" applyBorder="1" applyFont="1"/>
    <xf borderId="5" fillId="2" fontId="9" numFmtId="0" xfId="0" applyAlignment="1" applyBorder="1" applyFont="1">
      <alignment horizontal="left"/>
    </xf>
    <xf borderId="13" fillId="0" fontId="1" numFmtId="0" xfId="0" applyBorder="1" applyFont="1"/>
    <xf borderId="14" fillId="2" fontId="1" numFmtId="0" xfId="0" applyBorder="1" applyFont="1"/>
    <xf borderId="15" fillId="0" fontId="1" numFmtId="0" xfId="0" applyBorder="1" applyFont="1"/>
    <xf borderId="16" fillId="2" fontId="1" numFmtId="0" xfId="0" applyBorder="1" applyFont="1"/>
    <xf borderId="0" fillId="0" fontId="5" numFmtId="0" xfId="0" applyAlignment="1" applyFont="1">
      <alignment vertical="center"/>
    </xf>
    <xf borderId="5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vertical="center"/>
    </xf>
    <xf borderId="6" fillId="4" fontId="5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center"/>
    </xf>
    <xf borderId="6" fillId="0" fontId="10" numFmtId="9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vertical="top"/>
    </xf>
    <xf borderId="5" fillId="0" fontId="10" numFmtId="9" xfId="0" applyAlignment="1" applyBorder="1" applyFont="1" applyNumberFormat="1">
      <alignment horizontal="center"/>
    </xf>
    <xf borderId="5" fillId="0" fontId="10" numFmtId="0" xfId="0" applyAlignment="1" applyBorder="1" applyFont="1">
      <alignment horizontal="center"/>
    </xf>
    <xf borderId="6" fillId="4" fontId="5" numFmtId="0" xfId="0" applyAlignment="1" applyBorder="1" applyFont="1">
      <alignment horizontal="center"/>
    </xf>
    <xf borderId="5" fillId="4" fontId="5" numFmtId="0" xfId="0" applyAlignment="1" applyBorder="1" applyFont="1">
      <alignment horizontal="center"/>
    </xf>
    <xf borderId="0" fillId="0" fontId="5" numFmtId="0" xfId="0" applyFont="1"/>
    <xf borderId="5" fillId="5" fontId="5" numFmtId="0" xfId="0" applyAlignment="1" applyBorder="1" applyFill="1" applyFont="1">
      <alignment horizontal="center"/>
    </xf>
    <xf borderId="5" fillId="4" fontId="5" numFmtId="9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5" fillId="0" fontId="12" numFmtId="0" xfId="0" applyAlignment="1" applyBorder="1" applyFont="1">
      <alignment horizontal="center"/>
    </xf>
    <xf borderId="11" fillId="6" fontId="6" numFmtId="0" xfId="0" applyAlignment="1" applyBorder="1" applyFill="1" applyFont="1">
      <alignment horizontal="center" vertical="center"/>
    </xf>
    <xf borderId="5" fillId="7" fontId="13" numFmtId="0" xfId="0" applyBorder="1" applyFill="1" applyFont="1"/>
    <xf borderId="5" fillId="0" fontId="13" numFmtId="0" xfId="0" applyBorder="1" applyFont="1"/>
    <xf borderId="5" fillId="4" fontId="6" numFmtId="0" xfId="0" applyBorder="1" applyFont="1"/>
    <xf borderId="5" fillId="8" fontId="6" numFmtId="0" xfId="0" applyBorder="1" applyFill="1" applyFont="1"/>
    <xf borderId="5" fillId="9" fontId="10" numFmtId="0" xfId="0" applyBorder="1" applyFill="1" applyFont="1"/>
    <xf borderId="5" fillId="4" fontId="13" numFmtId="0" xfId="0" applyBorder="1" applyFont="1"/>
    <xf borderId="5" fillId="10" fontId="14" numFmtId="0" xfId="0" applyBorder="1" applyFill="1" applyFont="1"/>
    <xf borderId="5" fillId="11" fontId="13" numFmtId="0" xfId="0" applyBorder="1" applyFill="1" applyFont="1"/>
    <xf borderId="5" fillId="12" fontId="14" numFmtId="0" xfId="0" applyBorder="1" applyFill="1" applyFont="1"/>
    <xf borderId="5" fillId="13" fontId="14" numFmtId="0" xfId="0" applyBorder="1" applyFill="1" applyFont="1"/>
    <xf borderId="5" fillId="14" fontId="13" numFmtId="0" xfId="0" applyBorder="1" applyFill="1" applyFont="1"/>
    <xf borderId="0" fillId="0" fontId="7" numFmtId="0" xfId="0" applyAlignment="1" applyFont="1">
      <alignment vertical="top"/>
    </xf>
    <xf borderId="5" fillId="4" fontId="6" numFmtId="0" xfId="0" applyAlignment="1" applyBorder="1" applyFont="1">
      <alignment vertical="top"/>
    </xf>
    <xf borderId="5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6" fillId="4" fontId="6" numFmtId="0" xfId="0" applyAlignment="1" applyBorder="1" applyFont="1">
      <alignment vertical="top"/>
    </xf>
    <xf borderId="6" fillId="8" fontId="6" numFmtId="0" xfId="0" applyAlignment="1" applyBorder="1" applyFont="1">
      <alignment vertical="top"/>
    </xf>
    <xf borderId="5" fillId="4" fontId="6" numFmtId="0" xfId="0" applyAlignment="1" applyBorder="1" applyFont="1">
      <alignment shrinkToFit="0" vertical="top" wrapText="1"/>
    </xf>
    <xf borderId="5" fillId="0" fontId="7" numFmtId="0" xfId="0" applyAlignment="1" applyBorder="1" applyFont="1">
      <alignment horizontal="right" vertical="top"/>
    </xf>
    <xf borderId="5" fillId="8" fontId="6" numFmtId="0" xfId="0" applyAlignment="1" applyBorder="1" applyFont="1">
      <alignment vertical="top"/>
    </xf>
    <xf borderId="5" fillId="0" fontId="7" numFmtId="0" xfId="0" applyAlignment="1" applyBorder="1" applyFont="1">
      <alignment horizontal="right" shrinkToFit="0" vertical="top" wrapText="1"/>
    </xf>
    <xf borderId="5" fillId="0" fontId="7" numFmtId="9" xfId="0" applyAlignment="1" applyBorder="1" applyFont="1" applyNumberFormat="1">
      <alignment horizontal="right" shrinkToFit="0" vertical="top" wrapText="1"/>
    </xf>
    <xf borderId="5" fillId="15" fontId="6" numFmtId="0" xfId="0" applyAlignment="1" applyBorder="1" applyFill="1" applyFont="1">
      <alignment horizontal="center" vertical="center"/>
    </xf>
    <xf borderId="5" fillId="15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5" fillId="15" fontId="7" numFmtId="0" xfId="0" applyAlignment="1" applyBorder="1" applyFont="1">
      <alignment vertical="top"/>
    </xf>
    <xf borderId="17" fillId="15" fontId="6" numFmtId="0" xfId="0" applyAlignment="1" applyBorder="1" applyFont="1">
      <alignment shrinkToFit="0" vertical="top" wrapText="1"/>
    </xf>
    <xf borderId="18" fillId="0" fontId="3" numFmtId="0" xfId="0" applyBorder="1" applyFont="1"/>
    <xf borderId="19" fillId="0" fontId="3" numFmtId="0" xfId="0" applyBorder="1" applyFont="1"/>
    <xf borderId="9" fillId="15" fontId="7" numFmtId="0" xfId="0" applyAlignment="1" applyBorder="1" applyFont="1">
      <alignment vertical="top"/>
    </xf>
    <xf borderId="5" fillId="15" fontId="6" numFmtId="0" xfId="0" applyAlignment="1" applyBorder="1" applyFont="1">
      <alignment shrinkToFit="0" vertical="top" wrapText="1"/>
    </xf>
    <xf borderId="5" fillId="0" fontId="15" numFmtId="0" xfId="0" applyBorder="1" applyFont="1"/>
    <xf borderId="6" fillId="0" fontId="7" numFmtId="0" xfId="0" applyAlignment="1" applyBorder="1" applyFont="1">
      <alignment vertical="top"/>
    </xf>
    <xf borderId="5" fillId="16" fontId="6" numFmtId="0" xfId="0" applyAlignment="1" applyBorder="1" applyFill="1" applyFont="1">
      <alignment vertical="top"/>
    </xf>
    <xf borderId="5" fillId="16" fontId="7" numFmtId="0" xfId="0" applyAlignment="1" applyBorder="1" applyFont="1">
      <alignment shrinkToFit="0" vertical="top" wrapText="1"/>
    </xf>
    <xf borderId="5" fillId="16" fontId="7" numFmtId="0" xfId="0" applyAlignment="1" applyBorder="1" applyFont="1">
      <alignment vertical="top"/>
    </xf>
    <xf borderId="6" fillId="0" fontId="7" numFmtId="0" xfId="0" applyAlignment="1" applyBorder="1" applyFont="1">
      <alignment shrinkToFit="0" vertical="top" wrapText="1"/>
    </xf>
    <xf borderId="20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vertical="top"/>
    </xf>
    <xf borderId="13" fillId="0" fontId="7" numFmtId="0" xfId="0" applyAlignment="1" applyBorder="1" applyFont="1">
      <alignment shrinkToFit="0" vertical="top" wrapText="1"/>
    </xf>
    <xf borderId="15" fillId="0" fontId="7" numFmtId="0" xfId="0" applyAlignment="1" applyBorder="1" applyFont="1">
      <alignment shrinkToFit="0" vertical="top" wrapText="1"/>
    </xf>
    <xf borderId="5" fillId="0" fontId="16" numFmtId="0" xfId="0" applyBorder="1" applyFont="1"/>
    <xf borderId="5" fillId="0" fontId="7" numFmtId="0" xfId="0" applyAlignment="1" applyBorder="1" applyFont="1">
      <alignment horizontal="left" vertical="top"/>
    </xf>
    <xf borderId="5" fillId="0" fontId="7" numFmtId="0" xfId="0" applyAlignment="1" applyBorder="1" applyFont="1">
      <alignment horizontal="left" shrinkToFit="0" vertical="top" wrapText="1"/>
    </xf>
    <xf borderId="20" fillId="0" fontId="7" numFmtId="0" xfId="0" applyAlignment="1" applyBorder="1" applyFont="1">
      <alignment vertical="top"/>
    </xf>
    <xf borderId="15" fillId="0" fontId="7" numFmtId="0" xfId="0" applyAlignment="1" applyBorder="1" applyFont="1">
      <alignment vertical="top"/>
    </xf>
    <xf quotePrefix="1" borderId="5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shrinkToFit="0" wrapText="1"/>
    </xf>
    <xf borderId="5" fillId="0" fontId="7" numFmtId="0" xfId="0" applyAlignment="1" applyBorder="1" applyFont="1">
      <alignment readingOrder="0" shrinkToFit="0" vertical="top" wrapText="1"/>
    </xf>
    <xf quotePrefix="1" borderId="20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readingOrder="0" vertical="top"/>
    </xf>
    <xf borderId="0" fillId="0" fontId="17" numFmtId="0" xfId="0" applyAlignment="1" applyFont="1">
      <alignment readingOrder="0"/>
    </xf>
    <xf borderId="5" fillId="15" fontId="6" numFmtId="0" xfId="0" applyAlignment="1" applyBorder="1" applyFont="1">
      <alignment readingOrder="0" shrinkToFit="0" vertical="top" wrapText="1"/>
    </xf>
    <xf borderId="5" fillId="16" fontId="6" numFmtId="0" xfId="0" applyAlignment="1" applyBorder="1" applyFont="1">
      <alignment readingOrder="0" vertical="top"/>
    </xf>
    <xf borderId="20" fillId="0" fontId="7" numFmtId="0" xfId="0" applyAlignment="1" applyBorder="1" applyFont="1">
      <alignment readingOrder="0" shrinkToFit="0" vertical="top" wrapText="1"/>
    </xf>
    <xf borderId="13" fillId="0" fontId="7" numFmtId="0" xfId="0" applyAlignment="1" applyBorder="1" applyFont="1">
      <alignment readingOrder="0" shrinkToFit="0" vertical="top" wrapText="1"/>
    </xf>
    <xf borderId="15" fillId="0" fontId="7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horizontal="left" readingOrder="0" shrinkToFit="0" vertical="top" wrapText="1"/>
    </xf>
    <xf borderId="15" fillId="16" fontId="6" numFmtId="0" xfId="0" applyAlignment="1" applyBorder="1" applyFont="1">
      <alignment readingOrder="0" vertical="top"/>
    </xf>
    <xf borderId="5" fillId="16" fontId="7" numFmtId="0" xfId="0" applyAlignment="1" applyBorder="1" applyFont="1">
      <alignment readingOrder="0" shrinkToFit="0" vertical="top" wrapText="1"/>
    </xf>
    <xf borderId="20" fillId="16" fontId="7" numFmtId="0" xfId="0" applyAlignment="1" applyBorder="1" applyFont="1">
      <alignment shrinkToFit="0" vertical="top" wrapText="1"/>
    </xf>
    <xf borderId="0" fillId="0" fontId="18" numFmtId="0" xfId="0" applyAlignment="1" applyFont="1">
      <alignment readingOrder="0"/>
    </xf>
    <xf borderId="0" fillId="16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8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Test Execution Status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Report!$G$31:$J$31</c:f>
            </c:strRef>
          </c:cat>
          <c:val>
            <c:numRef>
              <c:f>Report!$G$37:$J$37</c:f>
              <c:numCache/>
            </c:numRef>
          </c:val>
        </c:ser>
        <c:axId val="1671396519"/>
        <c:axId val="2028348740"/>
      </c:barChart>
      <c:catAx>
        <c:axId val="1671396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2028348740"/>
      </c:catAx>
      <c:valAx>
        <c:axId val="20283487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7139651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Bug Status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Report!$F$40:$I$40</c:f>
            </c:strRef>
          </c:cat>
          <c:val>
            <c:numRef>
              <c:f>Report!$F$46:$I$46</c:f>
              <c:numCache/>
            </c:numRef>
          </c:val>
        </c:ser>
        <c:axId val="63391986"/>
        <c:axId val="1777673619"/>
      </c:barChart>
      <c:catAx>
        <c:axId val="63391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1777673619"/>
      </c:catAx>
      <c:valAx>
        <c:axId val="17776736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339198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Test Execution Chart Per Module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Report!$C$32:$C$36</c:f>
            </c:strRef>
          </c:cat>
          <c:val>
            <c:numRef>
              <c:f>Report!$D$32:$D$36</c:f>
              <c:numCache/>
            </c:numRef>
          </c:val>
        </c:ser>
        <c:axId val="716542154"/>
        <c:axId val="401514372"/>
      </c:barChart>
      <c:catAx>
        <c:axId val="7165421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401514372"/>
      </c:catAx>
      <c:valAx>
        <c:axId val="401514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16542154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Times New Roman"/>
              </a:defRPr>
            </a:pPr>
            <a:r>
              <a:rPr b="0" i="0" sz="1400">
                <a:solidFill>
                  <a:srgbClr val="757575"/>
                </a:solidFill>
                <a:latin typeface="Times New Roman"/>
              </a:rPr>
              <a:t>Bug Status Chart Per Module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Report!$C$41:$C$45</c:f>
            </c:strRef>
          </c:cat>
          <c:val>
            <c:numRef>
              <c:f>Report!$D$41:$D$45</c:f>
              <c:numCache/>
            </c:numRef>
          </c:val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Report!$C$41:$C$45</c:f>
            </c:strRef>
          </c:cat>
          <c:val>
            <c:numRef>
              <c:f>Report!$G$41:$G$45</c:f>
              <c:numCache/>
            </c:numRef>
          </c:val>
        </c:ser>
        <c:overlap val="100"/>
        <c:axId val="354382428"/>
        <c:axId val="448691568"/>
      </c:barChart>
      <c:catAx>
        <c:axId val="354382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Times New Roman"/>
              </a:defRPr>
            </a:pPr>
          </a:p>
        </c:txPr>
        <c:crossAx val="448691568"/>
      </c:catAx>
      <c:valAx>
        <c:axId val="448691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5438242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49</xdr:row>
      <xdr:rowOff>28575</xdr:rowOff>
    </xdr:from>
    <xdr:ext cx="4743450" cy="2771775"/>
    <xdr:graphicFrame>
      <xdr:nvGraphicFramePr>
        <xdr:cNvPr id="13276331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47625</xdr:colOff>
      <xdr:row>49</xdr:row>
      <xdr:rowOff>28575</xdr:rowOff>
    </xdr:from>
    <xdr:ext cx="4724400" cy="2771775"/>
    <xdr:graphicFrame>
      <xdr:nvGraphicFramePr>
        <xdr:cNvPr id="165342510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19050</xdr:colOff>
      <xdr:row>65</xdr:row>
      <xdr:rowOff>28575</xdr:rowOff>
    </xdr:from>
    <xdr:ext cx="9553575" cy="4048125"/>
    <xdr:graphicFrame>
      <xdr:nvGraphicFramePr>
        <xdr:cNvPr id="100927717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19050</xdr:colOff>
      <xdr:row>86</xdr:row>
      <xdr:rowOff>171450</xdr:rowOff>
    </xdr:from>
    <xdr:ext cx="9525000" cy="5172075"/>
    <xdr:graphicFrame>
      <xdr:nvGraphicFramePr>
        <xdr:cNvPr id="181839866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jira.sphinxjsc.com:8080/browse/QAT-251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mindmup.com/map/_free/2026/04/82ee17e038d411f182adb14e9429b705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16.43"/>
    <col customWidth="1" min="3" max="3" width="10.29"/>
    <col customWidth="1" min="4" max="4" width="11.71"/>
    <col customWidth="1" min="5" max="5" width="16.14"/>
    <col customWidth="1" min="6" max="6" width="21.14"/>
    <col customWidth="1" min="7" max="26" width="8.86"/>
  </cols>
  <sheetData>
    <row r="1" ht="12.7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/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6" t="s">
        <v>0</v>
      </c>
      <c r="B3" s="4"/>
      <c r="C3" s="4"/>
      <c r="D3" s="4"/>
      <c r="E3" s="4"/>
      <c r="F3" s="5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1"/>
      <c r="C4" s="1"/>
      <c r="D4" s="1"/>
      <c r="E4" s="8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"/>
      <c r="C5" s="1"/>
      <c r="D5" s="1"/>
      <c r="E5" s="8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9" t="s">
        <v>1</v>
      </c>
      <c r="B6" s="10"/>
      <c r="C6" s="10"/>
      <c r="D6" s="1"/>
      <c r="E6" s="8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9" t="s">
        <v>2</v>
      </c>
      <c r="B7" s="10"/>
      <c r="C7" s="10"/>
      <c r="D7" s="1"/>
      <c r="E7" s="8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1" t="s">
        <v>3</v>
      </c>
      <c r="B8" s="12"/>
      <c r="C8" s="2"/>
      <c r="D8" s="11" t="s">
        <v>4</v>
      </c>
      <c r="E8" s="8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1" t="s">
        <v>5</v>
      </c>
      <c r="B9" s="12"/>
      <c r="C9" s="2"/>
      <c r="D9" s="11" t="s">
        <v>6</v>
      </c>
      <c r="E9" s="8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1"/>
      <c r="B10" s="13"/>
      <c r="C10" s="13"/>
      <c r="D10" s="1"/>
      <c r="E10" s="8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4" t="s">
        <v>7</v>
      </c>
      <c r="B12" s="4"/>
      <c r="C12" s="4"/>
      <c r="D12" s="4"/>
      <c r="E12" s="4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15"/>
      <c r="B13" s="15"/>
      <c r="C13" s="15"/>
      <c r="D13" s="15"/>
      <c r="E13" s="15"/>
      <c r="F13" s="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16" t="s">
        <v>8</v>
      </c>
      <c r="B14" s="16" t="s">
        <v>9</v>
      </c>
      <c r="C14" s="17" t="s">
        <v>10</v>
      </c>
      <c r="D14" s="18"/>
      <c r="E14" s="19"/>
      <c r="F14" s="16" t="s">
        <v>11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0"/>
      <c r="B15" s="20"/>
      <c r="C15" s="21"/>
      <c r="D15" s="18"/>
      <c r="E15" s="19"/>
      <c r="F15" s="2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0"/>
      <c r="B16" s="20"/>
      <c r="C16" s="21"/>
      <c r="D16" s="18"/>
      <c r="E16" s="19"/>
      <c r="F16" s="2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0"/>
      <c r="B17" s="20"/>
      <c r="C17" s="21"/>
      <c r="D17" s="18"/>
      <c r="E17" s="19"/>
      <c r="F17" s="2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0"/>
      <c r="B18" s="20"/>
      <c r="C18" s="21"/>
      <c r="D18" s="18"/>
      <c r="E18" s="19"/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0"/>
      <c r="B19" s="20"/>
      <c r="C19" s="21"/>
      <c r="D19" s="18"/>
      <c r="E19" s="19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15"/>
      <c r="B20" s="15"/>
      <c r="C20" s="15"/>
      <c r="D20" s="15"/>
      <c r="E20" s="15"/>
      <c r="F20" s="1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8"/>
      <c r="C21" s="1"/>
      <c r="D21" s="1"/>
      <c r="E21" s="2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4" t="s">
        <v>12</v>
      </c>
      <c r="B22" s="4"/>
      <c r="C22" s="4"/>
      <c r="D22" s="4"/>
      <c r="E22" s="4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1"/>
      <c r="C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6" t="s">
        <v>8</v>
      </c>
      <c r="B24" s="16" t="s">
        <v>13</v>
      </c>
      <c r="C24" s="16" t="s">
        <v>14</v>
      </c>
      <c r="D24" s="16" t="s">
        <v>15</v>
      </c>
      <c r="E24" s="16" t="s">
        <v>16</v>
      </c>
      <c r="F24" s="16" t="s">
        <v>17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0"/>
      <c r="B25" s="20"/>
      <c r="C25" s="20"/>
      <c r="D25" s="20"/>
      <c r="E25" s="20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0"/>
      <c r="B26" s="20"/>
      <c r="C26" s="20"/>
      <c r="D26" s="20"/>
      <c r="E26" s="20"/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0"/>
      <c r="B27" s="20"/>
      <c r="C27" s="20"/>
      <c r="D27" s="20"/>
      <c r="E27" s="20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0"/>
      <c r="B28" s="20"/>
      <c r="C28" s="20"/>
      <c r="D28" s="20"/>
      <c r="E28" s="2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0"/>
      <c r="B29" s="20"/>
      <c r="C29" s="20"/>
      <c r="D29" s="20"/>
      <c r="E29" s="20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2" t="s">
        <v>18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4" t="s">
        <v>19</v>
      </c>
      <c r="B33" s="4"/>
      <c r="C33" s="4"/>
      <c r="D33" s="4"/>
      <c r="E33" s="4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6" t="s">
        <v>8</v>
      </c>
      <c r="B35" s="17" t="s">
        <v>20</v>
      </c>
      <c r="C35" s="19"/>
      <c r="D35" s="16" t="s">
        <v>21</v>
      </c>
      <c r="E35" s="16" t="s">
        <v>22</v>
      </c>
      <c r="F35" s="16" t="s">
        <v>23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3"/>
      <c r="B36" s="24"/>
      <c r="C36" s="19"/>
      <c r="D36" s="23"/>
      <c r="E36" s="23"/>
      <c r="F36" s="2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3"/>
      <c r="B37" s="24"/>
      <c r="C37" s="19"/>
      <c r="D37" s="23"/>
      <c r="E37" s="23"/>
      <c r="F37" s="2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3"/>
      <c r="B38" s="24"/>
      <c r="C38" s="19"/>
      <c r="D38" s="23"/>
      <c r="E38" s="23"/>
      <c r="F38" s="2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3"/>
      <c r="B39" s="24"/>
      <c r="C39" s="19"/>
      <c r="D39" s="23"/>
      <c r="E39" s="23"/>
      <c r="F39" s="2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3"/>
      <c r="B40" s="24"/>
      <c r="C40" s="19"/>
      <c r="D40" s="23"/>
      <c r="E40" s="23"/>
      <c r="F40" s="2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3"/>
      <c r="B41" s="24"/>
      <c r="C41" s="19"/>
      <c r="D41" s="23"/>
      <c r="E41" s="23"/>
      <c r="F41" s="2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3"/>
      <c r="B42" s="24"/>
      <c r="C42" s="19"/>
      <c r="D42" s="23"/>
      <c r="E42" s="23"/>
      <c r="F42" s="2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3"/>
      <c r="B43" s="24"/>
      <c r="C43" s="19"/>
      <c r="D43" s="23"/>
      <c r="E43" s="23"/>
      <c r="F43" s="2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3"/>
      <c r="B44" s="24"/>
      <c r="C44" s="19"/>
      <c r="D44" s="23"/>
      <c r="E44" s="23"/>
      <c r="F44" s="2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1">
    <mergeCell ref="A2:F2"/>
    <mergeCell ref="A3:F3"/>
    <mergeCell ref="A12:F12"/>
    <mergeCell ref="C14:E14"/>
    <mergeCell ref="C15:E15"/>
    <mergeCell ref="C16:E16"/>
    <mergeCell ref="C17:E17"/>
    <mergeCell ref="B38:C38"/>
    <mergeCell ref="B39:C39"/>
    <mergeCell ref="B40:C40"/>
    <mergeCell ref="B41:C41"/>
    <mergeCell ref="B42:C42"/>
    <mergeCell ref="B43:C43"/>
    <mergeCell ref="B44:C44"/>
    <mergeCell ref="C18:E18"/>
    <mergeCell ref="C19:E19"/>
    <mergeCell ref="A22:F22"/>
    <mergeCell ref="A33:F33"/>
    <mergeCell ref="B35:C35"/>
    <mergeCell ref="B36:C36"/>
    <mergeCell ref="B37:C37"/>
  </mergeCells>
  <dataValidations>
    <dataValidation type="list" allowBlank="1" showErrorMessage="1" sqref="E36:E44">
      <formula1>Glossary!$A$2:$A$11</formula1>
    </dataValidation>
  </dataValidations>
  <printOptions/>
  <pageMargins bottom="0.75" footer="0.0" header="0.0" left="0.7" right="0.7" top="0.75"/>
  <pageSetup orientation="portrait"/>
  <headerFooter>
    <oddFooter>&amp;R[Project Code]_TestCase_SIT_Version_xx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5.14"/>
    <col customWidth="1" min="3" max="3" width="43.14"/>
    <col customWidth="1" min="4" max="11" width="12.14"/>
    <col customWidth="1" min="12" max="26" width="8.86"/>
  </cols>
  <sheetData>
    <row r="1">
      <c r="A1" s="26"/>
      <c r="B1" s="27" t="s">
        <v>24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6"/>
      <c r="B2" s="13" t="s">
        <v>25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6"/>
      <c r="B3" s="13"/>
      <c r="C3" s="13"/>
      <c r="D3" s="13"/>
      <c r="E3" s="13"/>
      <c r="F3" s="13"/>
      <c r="G3" s="13"/>
      <c r="H3" s="13"/>
      <c r="I3" s="13"/>
      <c r="J3" s="13"/>
      <c r="K3" s="13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/>
      <c r="B4" s="10"/>
      <c r="C4" s="9" t="s">
        <v>26</v>
      </c>
      <c r="D4" s="10"/>
      <c r="E4" s="10"/>
      <c r="F4" s="10"/>
      <c r="G4" s="10"/>
      <c r="H4" s="10"/>
      <c r="I4" s="10"/>
      <c r="J4" s="10"/>
      <c r="K4" s="10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6"/>
      <c r="B5" s="10"/>
      <c r="C5" s="9" t="s">
        <v>27</v>
      </c>
      <c r="D5" s="10"/>
      <c r="E5" s="10"/>
      <c r="F5" s="10"/>
      <c r="G5" s="10"/>
      <c r="H5" s="10"/>
      <c r="I5" s="10"/>
      <c r="J5" s="10"/>
      <c r="K5" s="10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/>
      <c r="B6" s="10"/>
      <c r="C6" s="11" t="s">
        <v>28</v>
      </c>
      <c r="D6" s="12"/>
      <c r="E6" s="11" t="s">
        <v>29</v>
      </c>
      <c r="F6" s="26"/>
      <c r="G6" s="10"/>
      <c r="H6" s="10"/>
      <c r="I6" s="10"/>
      <c r="J6" s="10"/>
      <c r="K6" s="10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/>
      <c r="B7" s="10"/>
      <c r="C7" s="11" t="s">
        <v>30</v>
      </c>
      <c r="D7" s="12"/>
      <c r="E7" s="11" t="s">
        <v>31</v>
      </c>
      <c r="F7" s="26"/>
      <c r="G7" s="10"/>
      <c r="H7" s="10"/>
      <c r="I7" s="10"/>
      <c r="J7" s="10"/>
      <c r="K7" s="10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10"/>
      <c r="C8" s="11" t="s">
        <v>32</v>
      </c>
      <c r="D8" s="13"/>
      <c r="E8" s="13"/>
      <c r="F8" s="9"/>
      <c r="G8" s="10"/>
      <c r="H8" s="10"/>
      <c r="I8" s="10"/>
      <c r="J8" s="10"/>
      <c r="K8" s="10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10"/>
      <c r="C9" s="9"/>
      <c r="D9" s="10"/>
      <c r="E9" s="10"/>
      <c r="F9" s="9"/>
      <c r="G9" s="10"/>
      <c r="H9" s="10"/>
      <c r="I9" s="10"/>
      <c r="J9" s="10"/>
      <c r="K9" s="10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10"/>
      <c r="C10" s="26"/>
      <c r="D10" s="26"/>
      <c r="E10" s="26"/>
      <c r="F10" s="26"/>
      <c r="G10" s="26"/>
      <c r="H10" s="26"/>
      <c r="I10" s="10"/>
      <c r="J10" s="10"/>
      <c r="K10" s="10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10"/>
      <c r="C11" s="14" t="s">
        <v>33</v>
      </c>
      <c r="D11" s="4"/>
      <c r="E11" s="4"/>
      <c r="F11" s="4"/>
      <c r="G11" s="5"/>
      <c r="H11" s="15"/>
      <c r="I11" s="10"/>
      <c r="J11" s="10"/>
      <c r="K11" s="10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10"/>
      <c r="C12" s="15"/>
      <c r="D12" s="15"/>
      <c r="E12" s="15"/>
      <c r="F12" s="15"/>
      <c r="G12" s="15"/>
      <c r="H12" s="15"/>
      <c r="I12" s="10"/>
      <c r="J12" s="10"/>
      <c r="K12" s="10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10"/>
      <c r="C13" s="28" t="s">
        <v>34</v>
      </c>
      <c r="D13" s="29" t="s">
        <v>35</v>
      </c>
      <c r="E13" s="30"/>
      <c r="F13" s="31" t="s">
        <v>36</v>
      </c>
      <c r="G13" s="32"/>
      <c r="H13" s="2"/>
      <c r="I13" s="10"/>
      <c r="J13" s="10"/>
      <c r="K13" s="10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10"/>
      <c r="C14" s="33" t="s">
        <v>37</v>
      </c>
      <c r="D14" s="29" t="s">
        <v>38</v>
      </c>
      <c r="E14" s="30"/>
      <c r="F14" s="34"/>
      <c r="G14" s="35"/>
      <c r="H14" s="2"/>
      <c r="I14" s="10"/>
      <c r="J14" s="10"/>
      <c r="K14" s="10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10"/>
      <c r="C15" s="33" t="s">
        <v>39</v>
      </c>
      <c r="D15" s="29" t="s">
        <v>40</v>
      </c>
      <c r="E15" s="30"/>
      <c r="F15" s="36"/>
      <c r="G15" s="37"/>
      <c r="H15" s="2"/>
      <c r="I15" s="10"/>
      <c r="J15" s="10"/>
      <c r="K15" s="10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10"/>
      <c r="C16" s="2"/>
      <c r="D16" s="8"/>
      <c r="E16" s="1"/>
      <c r="F16" s="1"/>
      <c r="G16" s="2"/>
      <c r="H16" s="1"/>
      <c r="I16" s="10"/>
      <c r="J16" s="10"/>
      <c r="K16" s="10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10"/>
      <c r="C17" s="28" t="s">
        <v>34</v>
      </c>
      <c r="D17" s="29" t="s">
        <v>35</v>
      </c>
      <c r="E17" s="30"/>
      <c r="F17" s="31" t="s">
        <v>36</v>
      </c>
      <c r="G17" s="32"/>
      <c r="H17" s="1"/>
      <c r="I17" s="10"/>
      <c r="J17" s="10"/>
      <c r="K17" s="10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10"/>
      <c r="C18" s="33" t="s">
        <v>37</v>
      </c>
      <c r="D18" s="29" t="s">
        <v>38</v>
      </c>
      <c r="E18" s="30"/>
      <c r="F18" s="34"/>
      <c r="G18" s="35"/>
      <c r="H18" s="1"/>
      <c r="I18" s="10"/>
      <c r="J18" s="10"/>
      <c r="K18" s="10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10"/>
      <c r="C19" s="33" t="s">
        <v>39</v>
      </c>
      <c r="D19" s="29" t="s">
        <v>40</v>
      </c>
      <c r="E19" s="30"/>
      <c r="F19" s="36"/>
      <c r="G19" s="37"/>
      <c r="H19" s="1"/>
      <c r="I19" s="10"/>
      <c r="J19" s="10"/>
      <c r="K19" s="10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10"/>
      <c r="C20" s="26"/>
      <c r="D20" s="26"/>
      <c r="E20" s="26"/>
      <c r="F20" s="26"/>
      <c r="G20" s="26"/>
      <c r="H20" s="26"/>
      <c r="I20" s="10"/>
      <c r="J20" s="10"/>
      <c r="K20" s="10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10"/>
      <c r="C21" s="9"/>
      <c r="D21" s="10"/>
      <c r="E21" s="10"/>
      <c r="F21" s="9"/>
      <c r="G21" s="10"/>
      <c r="H21" s="10"/>
      <c r="I21" s="10"/>
      <c r="J21" s="10"/>
      <c r="K21" s="10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10"/>
      <c r="C22" s="9"/>
      <c r="D22" s="10"/>
      <c r="E22" s="10"/>
      <c r="F22" s="9"/>
      <c r="G22" s="10"/>
      <c r="H22" s="10"/>
      <c r="I22" s="10"/>
      <c r="J22" s="10"/>
      <c r="K22" s="10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B23" s="38" t="s">
        <v>41</v>
      </c>
      <c r="C23" s="26"/>
      <c r="D23" s="38"/>
      <c r="E23" s="38"/>
      <c r="F23" s="9"/>
      <c r="G23" s="10"/>
      <c r="H23" s="10"/>
      <c r="I23" s="10"/>
      <c r="J23" s="10"/>
      <c r="K23" s="10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39" t="s">
        <v>42</v>
      </c>
      <c r="C24" s="40" t="s">
        <v>43</v>
      </c>
      <c r="D24" s="41" t="s">
        <v>44</v>
      </c>
      <c r="E24" s="19"/>
      <c r="F24" s="26"/>
      <c r="G24" s="10"/>
      <c r="H24" s="10"/>
      <c r="I24" s="10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42">
        <v>1.0</v>
      </c>
      <c r="C25" s="43" t="s">
        <v>45</v>
      </c>
      <c r="D25" s="44">
        <f>(G37+H37)/F37</f>
        <v>0.1812865497</v>
      </c>
      <c r="E25" s="19"/>
      <c r="F25" s="26"/>
      <c r="G25" s="10"/>
      <c r="H25" s="10"/>
      <c r="I25" s="1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42">
        <v>2.0</v>
      </c>
      <c r="C26" s="20" t="s">
        <v>46</v>
      </c>
      <c r="D26" s="44">
        <f>(G37)/(G37+H37)</f>
        <v>0.7741935484</v>
      </c>
      <c r="E26" s="19"/>
      <c r="F26" s="26"/>
      <c r="G26" s="10"/>
      <c r="H26" s="10"/>
      <c r="I26" s="10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42">
        <v>3.0</v>
      </c>
      <c r="C27" s="20" t="s">
        <v>47</v>
      </c>
      <c r="D27" s="44">
        <f>(H37)/(G37+H37)</f>
        <v>0.2258064516</v>
      </c>
      <c r="E27" s="19"/>
      <c r="F27" s="26"/>
      <c r="G27" s="10"/>
      <c r="H27" s="10"/>
      <c r="I27" s="10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42">
        <v>4.0</v>
      </c>
      <c r="C28" s="20" t="s">
        <v>48</v>
      </c>
      <c r="D28" s="44">
        <f>F46/D46</f>
        <v>0.5</v>
      </c>
      <c r="E28" s="19"/>
      <c r="F28" s="26"/>
      <c r="G28" s="10"/>
      <c r="H28" s="10"/>
      <c r="I28" s="10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10"/>
      <c r="C29" s="9"/>
      <c r="D29" s="10"/>
      <c r="E29" s="10"/>
      <c r="F29" s="9"/>
      <c r="G29" s="10"/>
      <c r="H29" s="10"/>
      <c r="I29" s="10"/>
      <c r="J29" s="10"/>
      <c r="K29" s="10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45" t="s">
        <v>49</v>
      </c>
      <c r="C30" s="10"/>
      <c r="D30" s="10"/>
      <c r="E30" s="10"/>
      <c r="F30" s="10"/>
      <c r="G30" s="10"/>
      <c r="H30" s="10"/>
      <c r="I30" s="10"/>
      <c r="J30" s="10"/>
      <c r="K30" s="10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39" t="s">
        <v>42</v>
      </c>
      <c r="C31" s="39" t="s">
        <v>50</v>
      </c>
      <c r="D31" s="39" t="s">
        <v>51</v>
      </c>
      <c r="E31" s="39" t="s">
        <v>52</v>
      </c>
      <c r="F31" s="39" t="s">
        <v>53</v>
      </c>
      <c r="G31" s="39" t="s">
        <v>54</v>
      </c>
      <c r="H31" s="39" t="s">
        <v>55</v>
      </c>
      <c r="I31" s="39" t="s">
        <v>56</v>
      </c>
      <c r="J31" s="39" t="s">
        <v>57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42">
        <v>1.0</v>
      </c>
      <c r="C32" s="20" t="str">
        <f>QuanLyThuongHieu!$C$1</f>
        <v>Quản lý thương hiệu</v>
      </c>
      <c r="D32" s="46">
        <f t="shared" ref="D32:D33" si="1">(G32+H32)/F32</f>
        <v>0.397260274</v>
      </c>
      <c r="E32" s="46">
        <f t="shared" ref="E32:E33" si="2">G32/(G32+H32)</f>
        <v>0.8275862069</v>
      </c>
      <c r="F32" s="42">
        <f t="shared" ref="F32:F33" si="3">SUM(G32:J32)</f>
        <v>73</v>
      </c>
      <c r="G32" s="42">
        <f>QuanLyThuongHieu!H2</f>
        <v>24</v>
      </c>
      <c r="H32" s="42">
        <f>QuanLyThuongHieu!H3</f>
        <v>5</v>
      </c>
      <c r="I32" s="42">
        <f>QuanLyThuongHieu!H4</f>
        <v>0</v>
      </c>
      <c r="J32" s="42">
        <f>QuanLyThuongHieu!H5</f>
        <v>44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42">
        <v>2.0</v>
      </c>
      <c r="C33" s="20" t="str">
        <f>QuanLyDanhMuc!C1</f>
        <v>Quản lý danh mục</v>
      </c>
      <c r="D33" s="46">
        <f t="shared" si="1"/>
        <v>0.02040816327</v>
      </c>
      <c r="E33" s="46">
        <f t="shared" si="2"/>
        <v>0</v>
      </c>
      <c r="F33" s="42">
        <f t="shared" si="3"/>
        <v>98</v>
      </c>
      <c r="G33" s="42">
        <f>QuanLyDanhMuc!H2</f>
        <v>0</v>
      </c>
      <c r="H33" s="42">
        <f>QuanLyDanhMuc!H3</f>
        <v>2</v>
      </c>
      <c r="I33" s="42">
        <f>QuanLyDanhMuc!H4</f>
        <v>0</v>
      </c>
      <c r="J33" s="42">
        <f>QuanLyDanhMuc!H5</f>
        <v>96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42">
        <v>3.0</v>
      </c>
      <c r="C34" s="20"/>
      <c r="D34" s="46"/>
      <c r="E34" s="46"/>
      <c r="F34" s="42"/>
      <c r="G34" s="47"/>
      <c r="H34" s="47"/>
      <c r="I34" s="47"/>
      <c r="J34" s="47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42">
        <v>4.0</v>
      </c>
      <c r="C35" s="20"/>
      <c r="D35" s="46"/>
      <c r="E35" s="46"/>
      <c r="F35" s="42"/>
      <c r="G35" s="47"/>
      <c r="H35" s="47"/>
      <c r="I35" s="47"/>
      <c r="J35" s="47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42">
        <v>5.0</v>
      </c>
      <c r="C36" s="20"/>
      <c r="D36" s="46"/>
      <c r="E36" s="46"/>
      <c r="F36" s="42"/>
      <c r="G36" s="42"/>
      <c r="H36" s="42"/>
      <c r="I36" s="42"/>
      <c r="J36" s="42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48" t="s">
        <v>58</v>
      </c>
      <c r="C37" s="19"/>
      <c r="D37" s="49"/>
      <c r="E37" s="49"/>
      <c r="F37" s="39">
        <f t="shared" ref="F37:J37" si="4">SUM(F32:F36)</f>
        <v>171</v>
      </c>
      <c r="G37" s="39">
        <f t="shared" si="4"/>
        <v>24</v>
      </c>
      <c r="H37" s="39">
        <f t="shared" si="4"/>
        <v>7</v>
      </c>
      <c r="I37" s="39">
        <f t="shared" si="4"/>
        <v>0</v>
      </c>
      <c r="J37" s="39">
        <f t="shared" si="4"/>
        <v>140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50" t="s">
        <v>59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49" t="str">
        <f t="shared" ref="B40:C40" si="5">B31</f>
        <v>NO</v>
      </c>
      <c r="C40" s="49" t="str">
        <f t="shared" si="5"/>
        <v>MODULE</v>
      </c>
      <c r="D40" s="49" t="s">
        <v>58</v>
      </c>
      <c r="E40" s="49" t="s">
        <v>60</v>
      </c>
      <c r="F40" s="49" t="s">
        <v>61</v>
      </c>
      <c r="G40" s="51" t="s">
        <v>62</v>
      </c>
      <c r="H40" s="49" t="s">
        <v>56</v>
      </c>
      <c r="I40" s="49" t="s">
        <v>63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47">
        <f t="shared" ref="B41:B46" si="6">B32</f>
        <v>1</v>
      </c>
      <c r="C41" s="20" t="str">
        <f>QuanLyThuongHieu!$C$1</f>
        <v>Quản lý thương hiệu</v>
      </c>
      <c r="D41" s="47">
        <f t="shared" ref="D41:D42" si="7">SUM(F41:H41)</f>
        <v>0</v>
      </c>
      <c r="E41" s="46" t="str">
        <f t="shared" ref="E41:E42" si="8">F41/D41</f>
        <v>#DIV/0!</v>
      </c>
      <c r="F41" s="42">
        <f>QuanLyThuongHieu!J2</f>
        <v>0</v>
      </c>
      <c r="G41" s="42">
        <f>QuanLyThuongHieu!J3</f>
        <v>0</v>
      </c>
      <c r="H41" s="42">
        <f>QuanLyThuongHieu!J4</f>
        <v>0</v>
      </c>
      <c r="I41" s="42">
        <f>QuanLyThuongHieu!J5</f>
        <v>0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47">
        <f t="shared" si="6"/>
        <v>2</v>
      </c>
      <c r="C42" s="20" t="str">
        <f>QuanLyDanhMuc!C1</f>
        <v>Quản lý danh mục</v>
      </c>
      <c r="D42" s="47">
        <f t="shared" si="7"/>
        <v>2</v>
      </c>
      <c r="E42" s="46">
        <f t="shared" si="8"/>
        <v>0.5</v>
      </c>
      <c r="F42" s="42">
        <f>QuanLyDanhMuc!J2</f>
        <v>1</v>
      </c>
      <c r="G42" s="42">
        <f>QuanLyDanhMuc!J2</f>
        <v>1</v>
      </c>
      <c r="H42" s="42">
        <f>QuanLyDanhMuc!J3</f>
        <v>0</v>
      </c>
      <c r="I42" s="42">
        <f>QuanLyDanhMuc!J4</f>
        <v>0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47">
        <f t="shared" si="6"/>
        <v>3</v>
      </c>
      <c r="C43" s="20"/>
      <c r="D43" s="47"/>
      <c r="E43" s="46"/>
      <c r="F43" s="47"/>
      <c r="G43" s="47"/>
      <c r="H43" s="47"/>
      <c r="I43" s="47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47">
        <f t="shared" si="6"/>
        <v>4</v>
      </c>
      <c r="C44" s="20"/>
      <c r="D44" s="47"/>
      <c r="E44" s="46"/>
      <c r="F44" s="47"/>
      <c r="G44" s="47"/>
      <c r="H44" s="47"/>
      <c r="I44" s="4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47">
        <f t="shared" si="6"/>
        <v>5</v>
      </c>
      <c r="C45" s="20"/>
      <c r="D45" s="20"/>
      <c r="E45" s="46"/>
      <c r="F45" s="42"/>
      <c r="G45" s="42"/>
      <c r="H45" s="42"/>
      <c r="I45" s="42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48" t="str">
        <f t="shared" si="6"/>
        <v>TOTAL</v>
      </c>
      <c r="C46" s="19"/>
      <c r="D46" s="49">
        <f t="shared" ref="D46:I46" si="9">SUM(D41:D45)</f>
        <v>2</v>
      </c>
      <c r="E46" s="52" t="str">
        <f t="shared" si="9"/>
        <v>#DIV/0!</v>
      </c>
      <c r="F46" s="49">
        <f t="shared" si="9"/>
        <v>1</v>
      </c>
      <c r="G46" s="51">
        <f t="shared" si="9"/>
        <v>1</v>
      </c>
      <c r="H46" s="49">
        <f t="shared" si="9"/>
        <v>0</v>
      </c>
      <c r="I46" s="49">
        <f t="shared" si="9"/>
        <v>0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53"/>
      <c r="C48" s="53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50" t="s">
        <v>64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0">
    <mergeCell ref="D28:E28"/>
    <mergeCell ref="B37:C37"/>
    <mergeCell ref="B46:C46"/>
    <mergeCell ref="B1:K1"/>
    <mergeCell ref="B2:K2"/>
    <mergeCell ref="C11:G11"/>
    <mergeCell ref="D24:E24"/>
    <mergeCell ref="D25:E25"/>
    <mergeCell ref="D26:E26"/>
    <mergeCell ref="D27:E27"/>
  </mergeCells>
  <printOptions/>
  <pageMargins bottom="0.75" footer="0.0" header="0.0" left="0.7" right="0.7" top="0.75"/>
  <pageSetup scale="5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2.29"/>
    <col customWidth="1" min="3" max="3" width="3.86"/>
    <col customWidth="1" min="4" max="4" width="15.86"/>
    <col customWidth="1" min="5" max="5" width="3.43"/>
    <col customWidth="1" min="6" max="6" width="15.14"/>
    <col customWidth="1" min="7" max="7" width="3.14"/>
    <col customWidth="1" min="8" max="8" width="15.14"/>
    <col customWidth="1" min="9" max="9" width="3.14"/>
    <col customWidth="1" min="10" max="10" width="11.43"/>
    <col customWidth="1" min="11" max="11" width="3.0"/>
    <col customWidth="1" min="12" max="26" width="11.43"/>
  </cols>
  <sheetData>
    <row r="1">
      <c r="A1" s="54" t="s">
        <v>65</v>
      </c>
      <c r="B1" s="54" t="s">
        <v>66</v>
      </c>
      <c r="D1" s="55" t="s">
        <v>67</v>
      </c>
      <c r="F1" s="55" t="s">
        <v>68</v>
      </c>
      <c r="H1" s="55" t="s">
        <v>69</v>
      </c>
      <c r="J1" s="55" t="s">
        <v>70</v>
      </c>
      <c r="L1" s="55" t="s">
        <v>71</v>
      </c>
    </row>
    <row r="2">
      <c r="A2" s="56" t="s">
        <v>72</v>
      </c>
      <c r="B2" s="57" t="s">
        <v>73</v>
      </c>
      <c r="D2" s="58" t="s">
        <v>74</v>
      </c>
      <c r="F2" s="59" t="s">
        <v>75</v>
      </c>
      <c r="H2" s="59" t="s">
        <v>76</v>
      </c>
      <c r="J2" s="60" t="s">
        <v>77</v>
      </c>
      <c r="L2" s="59" t="s">
        <v>78</v>
      </c>
    </row>
    <row r="3">
      <c r="A3" s="61" t="s">
        <v>79</v>
      </c>
      <c r="B3" s="57" t="s">
        <v>80</v>
      </c>
      <c r="D3" s="58" t="s">
        <v>81</v>
      </c>
      <c r="F3" s="59" t="s">
        <v>82</v>
      </c>
      <c r="H3" s="59" t="s">
        <v>83</v>
      </c>
      <c r="J3" s="60" t="s">
        <v>84</v>
      </c>
      <c r="L3" s="59" t="s">
        <v>85</v>
      </c>
    </row>
    <row r="4">
      <c r="A4" s="62" t="s">
        <v>86</v>
      </c>
      <c r="B4" s="57" t="s">
        <v>87</v>
      </c>
      <c r="D4" s="58" t="s">
        <v>88</v>
      </c>
      <c r="F4" s="59" t="s">
        <v>88</v>
      </c>
      <c r="H4" s="59" t="s">
        <v>89</v>
      </c>
      <c r="J4" s="60" t="s">
        <v>90</v>
      </c>
      <c r="L4" s="59" t="s">
        <v>91</v>
      </c>
    </row>
    <row r="5">
      <c r="A5" s="63" t="s">
        <v>92</v>
      </c>
      <c r="B5" s="57" t="s">
        <v>93</v>
      </c>
      <c r="D5" s="58" t="s">
        <v>57</v>
      </c>
      <c r="F5" s="59" t="s">
        <v>94</v>
      </c>
      <c r="H5" s="59"/>
      <c r="J5" s="60" t="s">
        <v>95</v>
      </c>
      <c r="L5" s="59" t="s">
        <v>96</v>
      </c>
    </row>
    <row r="6">
      <c r="A6" s="64" t="s">
        <v>56</v>
      </c>
      <c r="B6" s="57" t="s">
        <v>97</v>
      </c>
    </row>
    <row r="7">
      <c r="A7" s="65" t="s">
        <v>98</v>
      </c>
      <c r="B7" s="57" t="s">
        <v>99</v>
      </c>
    </row>
    <row r="8">
      <c r="A8" s="57" t="s">
        <v>100</v>
      </c>
      <c r="B8" s="57" t="s">
        <v>101</v>
      </c>
    </row>
    <row r="9">
      <c r="A9" s="57" t="s">
        <v>102</v>
      </c>
      <c r="B9" s="57" t="s">
        <v>103</v>
      </c>
    </row>
    <row r="10">
      <c r="A10" s="57" t="s">
        <v>104</v>
      </c>
      <c r="B10" s="57" t="s">
        <v>105</v>
      </c>
    </row>
    <row r="11">
      <c r="A11" s="66" t="s">
        <v>106</v>
      </c>
      <c r="B11" s="57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 outlineLevelRow="2"/>
  <cols>
    <col customWidth="1" min="2" max="2" width="39.14"/>
    <col customWidth="1" min="3" max="3" width="29.86"/>
    <col customWidth="1" min="4" max="4" width="27.14"/>
    <col customWidth="1" min="5" max="5" width="18.0"/>
    <col customWidth="1" min="6" max="6" width="35.43"/>
    <col customWidth="1" min="7" max="7" width="60.29"/>
    <col customWidth="1" min="8" max="10" width="19.71"/>
  </cols>
  <sheetData>
    <row r="1">
      <c r="A1" s="67"/>
      <c r="B1" s="68" t="s">
        <v>108</v>
      </c>
      <c r="C1" s="69" t="s">
        <v>109</v>
      </c>
      <c r="D1" s="70"/>
      <c r="E1" s="67"/>
      <c r="F1" s="70"/>
      <c r="G1" s="71" t="s">
        <v>110</v>
      </c>
      <c r="H1" s="19"/>
      <c r="I1" s="72" t="s">
        <v>111</v>
      </c>
      <c r="J1" s="19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68" t="s">
        <v>112</v>
      </c>
      <c r="C2" s="69" t="s">
        <v>113</v>
      </c>
      <c r="D2" s="70"/>
      <c r="E2" s="67"/>
      <c r="F2" s="70"/>
      <c r="G2" s="73" t="str">
        <f>Glossary!D2</f>
        <v>Passed</v>
      </c>
      <c r="H2" s="74">
        <f t="shared" ref="H2:H5" si="1">COUNTIF($H$10:H581,G2)</f>
        <v>24</v>
      </c>
      <c r="I2" s="75" t="str">
        <f>Glossary!F2</f>
        <v>Done</v>
      </c>
      <c r="J2" s="74">
        <f t="shared" ref="J2:J5" si="2">COUNTIF($I$10:I581,I2)</f>
        <v>0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8" t="s">
        <v>114</v>
      </c>
      <c r="C3" s="76">
        <f>COUNTA(G10:G581)</f>
        <v>73</v>
      </c>
      <c r="D3" s="70"/>
      <c r="E3" s="67"/>
      <c r="F3" s="70"/>
      <c r="G3" s="73" t="str">
        <f>Glossary!D3</f>
        <v>Failed</v>
      </c>
      <c r="H3" s="74">
        <f t="shared" si="1"/>
        <v>5</v>
      </c>
      <c r="I3" s="75" t="str">
        <f>Glossary!F3</f>
        <v>Open</v>
      </c>
      <c r="J3" s="74">
        <f t="shared" si="2"/>
        <v>0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8" t="s">
        <v>115</v>
      </c>
      <c r="C4" s="77">
        <f>($H$2+$H$3)/$C$3</f>
        <v>0.397260274</v>
      </c>
      <c r="D4" s="70"/>
      <c r="E4" s="67"/>
      <c r="F4" s="70"/>
      <c r="G4" s="73" t="str">
        <f>Glossary!D4</f>
        <v>Pending</v>
      </c>
      <c r="H4" s="74">
        <f t="shared" si="1"/>
        <v>0</v>
      </c>
      <c r="I4" s="75" t="str">
        <f>Glossary!F4</f>
        <v>Pending</v>
      </c>
      <c r="J4" s="74">
        <f t="shared" si="2"/>
        <v>0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7"/>
      <c r="B5" s="68" t="s">
        <v>116</v>
      </c>
      <c r="C5" s="69"/>
      <c r="D5" s="70"/>
      <c r="E5" s="67"/>
      <c r="F5" s="70"/>
      <c r="G5" s="73" t="str">
        <f>Glossary!D5</f>
        <v>N/A</v>
      </c>
      <c r="H5" s="74">
        <f t="shared" si="1"/>
        <v>44</v>
      </c>
      <c r="I5" s="75" t="str">
        <f>Glossary!F5</f>
        <v>Rejected</v>
      </c>
      <c r="J5" s="74">
        <f t="shared" si="2"/>
        <v>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/>
      <c r="C6" s="70"/>
      <c r="D6" s="70"/>
      <c r="E6" s="67"/>
      <c r="F6" s="70"/>
      <c r="G6" s="70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78" t="s">
        <v>117</v>
      </c>
      <c r="B7" s="78" t="s">
        <v>118</v>
      </c>
      <c r="C7" s="79" t="s">
        <v>119</v>
      </c>
      <c r="D7" s="79" t="s">
        <v>120</v>
      </c>
      <c r="E7" s="78" t="s">
        <v>121</v>
      </c>
      <c r="F7" s="79" t="s">
        <v>122</v>
      </c>
      <c r="G7" s="79" t="s">
        <v>123</v>
      </c>
      <c r="H7" s="78" t="s">
        <v>124</v>
      </c>
      <c r="I7" s="78" t="s">
        <v>111</v>
      </c>
      <c r="J7" s="78" t="s">
        <v>125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1"/>
      <c r="B8" s="82" t="s">
        <v>126</v>
      </c>
      <c r="C8" s="83"/>
      <c r="D8" s="83"/>
      <c r="E8" s="83"/>
      <c r="F8" s="83"/>
      <c r="G8" s="83"/>
      <c r="H8" s="83"/>
      <c r="I8" s="83"/>
      <c r="J8" s="84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85"/>
      <c r="B9" s="86" t="s">
        <v>127</v>
      </c>
      <c r="C9" s="87"/>
      <c r="D9" s="87"/>
      <c r="E9" s="87"/>
      <c r="F9" s="87"/>
      <c r="G9" s="87"/>
      <c r="H9" s="87"/>
      <c r="I9" s="87"/>
      <c r="J9" s="8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outlineLevel="1">
      <c r="A10" s="88"/>
      <c r="B10" s="89" t="s">
        <v>128</v>
      </c>
      <c r="C10" s="90"/>
      <c r="D10" s="90"/>
      <c r="E10" s="91"/>
      <c r="F10" s="90"/>
      <c r="G10" s="90"/>
      <c r="H10" s="91"/>
      <c r="I10" s="91"/>
      <c r="J10" s="91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outlineLevel="2">
      <c r="A11" s="92" t="str">
        <f t="shared" ref="A11:A59" si="3">IF(G11="","",$C$2&amp;"-"&amp;SUBTOTAL(3,$G$10:G11))</f>
        <v>Brand-1</v>
      </c>
      <c r="B11" s="93" t="s">
        <v>129</v>
      </c>
      <c r="C11" s="93" t="s">
        <v>130</v>
      </c>
      <c r="D11" s="93" t="s">
        <v>130</v>
      </c>
      <c r="E11" s="94"/>
      <c r="F11" s="93" t="s">
        <v>131</v>
      </c>
      <c r="G11" s="69" t="s">
        <v>132</v>
      </c>
      <c r="H11" s="69" t="s">
        <v>74</v>
      </c>
      <c r="I11" s="94"/>
      <c r="J11" s="9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outlineLevel="2">
      <c r="A12" s="92" t="str">
        <f t="shared" si="3"/>
        <v>Brand-2</v>
      </c>
      <c r="B12" s="95"/>
      <c r="C12" s="95"/>
      <c r="D12" s="95"/>
      <c r="E12" s="94"/>
      <c r="F12" s="95"/>
      <c r="G12" s="69" t="s">
        <v>133</v>
      </c>
      <c r="H12" s="69" t="s">
        <v>74</v>
      </c>
      <c r="I12" s="94"/>
      <c r="J12" s="94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outlineLevel="2">
      <c r="A13" s="92" t="str">
        <f t="shared" si="3"/>
        <v>Brand-3</v>
      </c>
      <c r="B13" s="95"/>
      <c r="C13" s="95"/>
      <c r="D13" s="95"/>
      <c r="E13" s="94"/>
      <c r="F13" s="95"/>
      <c r="G13" s="69" t="s">
        <v>134</v>
      </c>
      <c r="H13" s="69" t="s">
        <v>74</v>
      </c>
      <c r="I13" s="94"/>
      <c r="J13" s="94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outlineLevel="2">
      <c r="A14" s="92" t="str">
        <f t="shared" si="3"/>
        <v>Brand-4</v>
      </c>
      <c r="B14" s="95"/>
      <c r="C14" s="96"/>
      <c r="D14" s="96"/>
      <c r="E14" s="94"/>
      <c r="F14" s="96"/>
      <c r="G14" s="69" t="s">
        <v>135</v>
      </c>
      <c r="H14" s="69" t="s">
        <v>74</v>
      </c>
      <c r="I14" s="94"/>
      <c r="J14" s="9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outlineLevel="2">
      <c r="A15" s="92" t="str">
        <f t="shared" si="3"/>
        <v>Brand-5</v>
      </c>
      <c r="B15" s="95"/>
      <c r="C15" s="93" t="s">
        <v>136</v>
      </c>
      <c r="D15" s="69" t="s">
        <v>137</v>
      </c>
      <c r="E15" s="98"/>
      <c r="F15" s="69" t="s">
        <v>138</v>
      </c>
      <c r="G15" s="99" t="s">
        <v>139</v>
      </c>
      <c r="H15" s="69" t="s">
        <v>81</v>
      </c>
      <c r="I15" s="94"/>
      <c r="J15" s="69" t="s">
        <v>140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outlineLevel="2">
      <c r="A16" s="92" t="str">
        <f t="shared" si="3"/>
        <v>Brand-6</v>
      </c>
      <c r="B16" s="95"/>
      <c r="C16" s="95"/>
      <c r="D16" s="93" t="s">
        <v>141</v>
      </c>
      <c r="E16" s="98"/>
      <c r="F16" s="93" t="s">
        <v>138</v>
      </c>
      <c r="G16" s="99" t="s">
        <v>142</v>
      </c>
      <c r="H16" s="69" t="s">
        <v>81</v>
      </c>
      <c r="I16" s="94"/>
      <c r="J16" s="94" t="s">
        <v>143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outlineLevel="2">
      <c r="A17" s="92" t="str">
        <f t="shared" si="3"/>
        <v>Brand-7</v>
      </c>
      <c r="B17" s="96"/>
      <c r="C17" s="96"/>
      <c r="D17" s="96"/>
      <c r="E17" s="98"/>
      <c r="F17" s="96"/>
      <c r="G17" s="99" t="s">
        <v>144</v>
      </c>
      <c r="H17" s="69" t="s">
        <v>74</v>
      </c>
      <c r="I17" s="94"/>
      <c r="J17" s="94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31.5" customHeight="1" outlineLevel="2">
      <c r="A18" s="92" t="str">
        <f t="shared" si="3"/>
        <v>Brand-8</v>
      </c>
      <c r="B18" s="100" t="s">
        <v>145</v>
      </c>
      <c r="C18" s="100" t="s">
        <v>145</v>
      </c>
      <c r="D18" s="100" t="s">
        <v>145</v>
      </c>
      <c r="E18" s="98"/>
      <c r="F18" s="93" t="s">
        <v>146</v>
      </c>
      <c r="G18" s="99" t="s">
        <v>147</v>
      </c>
      <c r="H18" s="69" t="s">
        <v>74</v>
      </c>
      <c r="I18" s="94"/>
      <c r="J18" s="94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outlineLevel="2">
      <c r="A19" s="92" t="str">
        <f t="shared" si="3"/>
        <v>Brand-9</v>
      </c>
      <c r="B19" s="101"/>
      <c r="C19" s="101"/>
      <c r="D19" s="101"/>
      <c r="E19" s="98"/>
      <c r="F19" s="96"/>
      <c r="G19" s="99" t="s">
        <v>148</v>
      </c>
      <c r="H19" s="69" t="s">
        <v>74</v>
      </c>
      <c r="I19" s="94"/>
      <c r="J19" s="94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outlineLevel="1">
      <c r="A20" s="92" t="str">
        <f t="shared" si="3"/>
        <v/>
      </c>
      <c r="B20" s="89" t="s">
        <v>149</v>
      </c>
      <c r="C20" s="90"/>
      <c r="D20" s="90"/>
      <c r="E20" s="91"/>
      <c r="F20" s="90"/>
      <c r="G20" s="90"/>
      <c r="H20" s="91"/>
      <c r="I20" s="91"/>
      <c r="J20" s="91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63.0" customHeight="1" outlineLevel="2">
      <c r="A21" s="92" t="str">
        <f t="shared" si="3"/>
        <v>Brand-10</v>
      </c>
      <c r="B21" s="93" t="s">
        <v>150</v>
      </c>
      <c r="C21" s="93" t="s">
        <v>151</v>
      </c>
      <c r="D21" s="93" t="s">
        <v>152</v>
      </c>
      <c r="E21" s="99"/>
      <c r="F21" s="93" t="s">
        <v>153</v>
      </c>
      <c r="G21" s="99" t="s">
        <v>154</v>
      </c>
      <c r="H21" s="69" t="s">
        <v>74</v>
      </c>
      <c r="I21" s="94"/>
      <c r="J21" s="94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outlineLevel="2">
      <c r="A22" s="92" t="str">
        <f t="shared" si="3"/>
        <v>Brand-11</v>
      </c>
      <c r="B22" s="95"/>
      <c r="C22" s="96"/>
      <c r="D22" s="102" t="s">
        <v>155</v>
      </c>
      <c r="E22" s="99"/>
      <c r="F22" s="96"/>
      <c r="G22" s="99" t="s">
        <v>154</v>
      </c>
      <c r="H22" s="69" t="s">
        <v>74</v>
      </c>
      <c r="I22" s="94"/>
      <c r="J22" s="94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outlineLevel="2">
      <c r="A23" s="92" t="str">
        <f t="shared" si="3"/>
        <v>Brand-12</v>
      </c>
      <c r="B23" s="96"/>
      <c r="C23" s="99" t="s">
        <v>156</v>
      </c>
      <c r="D23" s="102" t="s">
        <v>157</v>
      </c>
      <c r="E23" s="99"/>
      <c r="F23" s="93" t="s">
        <v>153</v>
      </c>
      <c r="G23" s="99" t="s">
        <v>154</v>
      </c>
      <c r="H23" s="69" t="s">
        <v>74</v>
      </c>
      <c r="I23" s="94"/>
      <c r="J23" s="94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outlineLevel="1">
      <c r="A24" s="92" t="str">
        <f t="shared" si="3"/>
        <v/>
      </c>
      <c r="B24" s="89" t="s">
        <v>158</v>
      </c>
      <c r="C24" s="90"/>
      <c r="D24" s="90"/>
      <c r="E24" s="91"/>
      <c r="F24" s="90"/>
      <c r="G24" s="90"/>
      <c r="H24" s="91"/>
      <c r="I24" s="91"/>
      <c r="J24" s="91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63.0" customHeight="1" outlineLevel="2">
      <c r="A25" s="92" t="str">
        <f t="shared" si="3"/>
        <v>Brand-13</v>
      </c>
      <c r="B25" s="93" t="s">
        <v>159</v>
      </c>
      <c r="C25" s="93" t="s">
        <v>160</v>
      </c>
      <c r="D25" s="93" t="s">
        <v>152</v>
      </c>
      <c r="E25" s="69"/>
      <c r="F25" s="93" t="s">
        <v>153</v>
      </c>
      <c r="G25" s="69" t="s">
        <v>161</v>
      </c>
      <c r="H25" s="69" t="s">
        <v>74</v>
      </c>
      <c r="I25" s="94"/>
      <c r="J25" s="94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outlineLevel="2">
      <c r="A26" s="92" t="str">
        <f t="shared" si="3"/>
        <v>Brand-14</v>
      </c>
      <c r="B26" s="95"/>
      <c r="C26" s="95"/>
      <c r="D26" s="96"/>
      <c r="E26" s="69"/>
      <c r="F26" s="96"/>
      <c r="G26" s="69" t="s">
        <v>162</v>
      </c>
      <c r="H26" s="69" t="s">
        <v>74</v>
      </c>
      <c r="I26" s="94"/>
      <c r="J26" s="94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outlineLevel="2">
      <c r="A27" s="92" t="str">
        <f t="shared" si="3"/>
        <v>Brand-15</v>
      </c>
      <c r="B27" s="95"/>
      <c r="C27" s="96"/>
      <c r="D27" s="102" t="s">
        <v>155</v>
      </c>
      <c r="E27" s="69"/>
      <c r="F27" s="93" t="s">
        <v>153</v>
      </c>
      <c r="G27" s="69" t="s">
        <v>163</v>
      </c>
      <c r="H27" s="69" t="s">
        <v>74</v>
      </c>
      <c r="I27" s="94"/>
      <c r="J27" s="94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outlineLevel="2">
      <c r="A28" s="92" t="str">
        <f t="shared" si="3"/>
        <v>Brand-16</v>
      </c>
      <c r="B28" s="96"/>
      <c r="C28" s="69" t="s">
        <v>164</v>
      </c>
      <c r="D28" s="102" t="s">
        <v>157</v>
      </c>
      <c r="E28" s="69"/>
      <c r="F28" s="93" t="s">
        <v>153</v>
      </c>
      <c r="G28" s="69" t="s">
        <v>163</v>
      </c>
      <c r="H28" s="69" t="s">
        <v>74</v>
      </c>
      <c r="I28" s="94"/>
      <c r="J28" s="94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outlineLevel="2">
      <c r="A29" s="92" t="str">
        <f t="shared" si="3"/>
        <v>Brand-17</v>
      </c>
      <c r="B29" s="93" t="s">
        <v>165</v>
      </c>
      <c r="C29" s="93" t="s">
        <v>165</v>
      </c>
      <c r="D29" s="69" t="s">
        <v>166</v>
      </c>
      <c r="E29" s="69"/>
      <c r="F29" s="93" t="s">
        <v>167</v>
      </c>
      <c r="G29" s="69" t="s">
        <v>168</v>
      </c>
      <c r="H29" s="69" t="s">
        <v>74</v>
      </c>
      <c r="I29" s="94"/>
      <c r="J29" s="94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outlineLevel="2">
      <c r="A30" s="92" t="str">
        <f t="shared" si="3"/>
        <v>Brand-18</v>
      </c>
      <c r="B30" s="95"/>
      <c r="C30" s="95"/>
      <c r="D30" s="69" t="s">
        <v>169</v>
      </c>
      <c r="E30" s="69"/>
      <c r="F30" s="93" t="s">
        <v>170</v>
      </c>
      <c r="G30" s="69" t="s">
        <v>171</v>
      </c>
      <c r="H30" s="69" t="s">
        <v>74</v>
      </c>
      <c r="I30" s="94"/>
      <c r="J30" s="94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outlineLevel="2">
      <c r="A31" s="92" t="str">
        <f t="shared" si="3"/>
        <v>Brand-19</v>
      </c>
      <c r="B31" s="96"/>
      <c r="C31" s="96"/>
      <c r="D31" s="69" t="s">
        <v>172</v>
      </c>
      <c r="E31" s="69"/>
      <c r="F31" s="93" t="s">
        <v>173</v>
      </c>
      <c r="G31" s="69" t="s">
        <v>174</v>
      </c>
      <c r="H31" s="69" t="s">
        <v>74</v>
      </c>
      <c r="I31" s="94"/>
      <c r="J31" s="94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92" t="str">
        <f t="shared" si="3"/>
        <v/>
      </c>
      <c r="B32" s="86" t="s">
        <v>175</v>
      </c>
      <c r="C32" s="87"/>
      <c r="D32" s="87"/>
      <c r="E32" s="87"/>
      <c r="F32" s="87"/>
      <c r="G32" s="87"/>
      <c r="H32" s="69"/>
      <c r="I32" s="87"/>
      <c r="J32" s="8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outlineLevel="1">
      <c r="A33" s="92" t="str">
        <f t="shared" si="3"/>
        <v/>
      </c>
      <c r="B33" s="89" t="s">
        <v>128</v>
      </c>
      <c r="C33" s="90"/>
      <c r="D33" s="90"/>
      <c r="E33" s="91"/>
      <c r="F33" s="90"/>
      <c r="G33" s="90"/>
      <c r="H33" s="91"/>
      <c r="I33" s="91"/>
      <c r="J33" s="91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outlineLevel="2">
      <c r="A34" s="92" t="str">
        <f t="shared" si="3"/>
        <v>Brand-20</v>
      </c>
      <c r="B34" s="93" t="s">
        <v>129</v>
      </c>
      <c r="C34" s="93" t="s">
        <v>130</v>
      </c>
      <c r="D34" s="93" t="s">
        <v>130</v>
      </c>
      <c r="E34" s="94"/>
      <c r="F34" s="93" t="s">
        <v>176</v>
      </c>
      <c r="G34" s="69" t="s">
        <v>177</v>
      </c>
      <c r="H34" s="69" t="s">
        <v>74</v>
      </c>
      <c r="I34" s="94"/>
      <c r="J34" s="94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outlineLevel="2">
      <c r="A35" s="92" t="str">
        <f t="shared" si="3"/>
        <v>Brand-21</v>
      </c>
      <c r="B35" s="95"/>
      <c r="C35" s="95"/>
      <c r="D35" s="95"/>
      <c r="E35" s="94"/>
      <c r="F35" s="95"/>
      <c r="G35" s="69" t="s">
        <v>133</v>
      </c>
      <c r="H35" s="69" t="s">
        <v>74</v>
      </c>
      <c r="I35" s="94"/>
      <c r="J35" s="94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outlineLevel="2">
      <c r="A36" s="92" t="str">
        <f t="shared" si="3"/>
        <v>Brand-22</v>
      </c>
      <c r="B36" s="95"/>
      <c r="C36" s="95"/>
      <c r="D36" s="95"/>
      <c r="E36" s="94"/>
      <c r="F36" s="95"/>
      <c r="G36" s="69" t="s">
        <v>134</v>
      </c>
      <c r="H36" s="69" t="s">
        <v>74</v>
      </c>
      <c r="I36" s="94"/>
      <c r="J36" s="94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outlineLevel="2">
      <c r="A37" s="92" t="str">
        <f t="shared" si="3"/>
        <v>Brand-23</v>
      </c>
      <c r="B37" s="95"/>
      <c r="C37" s="95"/>
      <c r="D37" s="95"/>
      <c r="E37" s="94"/>
      <c r="F37" s="95"/>
      <c r="G37" s="69" t="s">
        <v>135</v>
      </c>
      <c r="H37" s="69" t="s">
        <v>74</v>
      </c>
      <c r="I37" s="94"/>
      <c r="J37" s="9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outlineLevel="2">
      <c r="A38" s="92" t="str">
        <f t="shared" si="3"/>
        <v>Brand-24</v>
      </c>
      <c r="B38" s="95"/>
      <c r="C38" s="96"/>
      <c r="D38" s="96"/>
      <c r="E38" s="94"/>
      <c r="F38" s="96"/>
      <c r="G38" s="69" t="s">
        <v>178</v>
      </c>
      <c r="H38" s="69" t="s">
        <v>81</v>
      </c>
      <c r="I38" s="94"/>
      <c r="J38" s="97" t="s">
        <v>179</v>
      </c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47.25" customHeight="1" outlineLevel="2">
      <c r="A39" s="92" t="str">
        <f t="shared" si="3"/>
        <v>Brand-25</v>
      </c>
      <c r="B39" s="95"/>
      <c r="C39" s="93" t="s">
        <v>180</v>
      </c>
      <c r="D39" s="93" t="s">
        <v>181</v>
      </c>
      <c r="E39" s="94"/>
      <c r="F39" s="93" t="s">
        <v>182</v>
      </c>
      <c r="G39" s="69" t="s">
        <v>183</v>
      </c>
      <c r="H39" s="69" t="s">
        <v>74</v>
      </c>
      <c r="I39" s="94"/>
      <c r="J39" s="94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outlineLevel="2">
      <c r="A40" s="92" t="str">
        <f t="shared" si="3"/>
        <v>Brand-26</v>
      </c>
      <c r="B40" s="96"/>
      <c r="C40" s="96"/>
      <c r="D40" s="96"/>
      <c r="E40" s="98"/>
      <c r="F40" s="96"/>
      <c r="G40" s="99" t="s">
        <v>184</v>
      </c>
      <c r="H40" s="69" t="s">
        <v>74</v>
      </c>
      <c r="I40" s="94"/>
      <c r="J40" s="94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outlineLevel="1">
      <c r="A41" s="92" t="str">
        <f t="shared" si="3"/>
        <v/>
      </c>
      <c r="B41" s="89" t="s">
        <v>149</v>
      </c>
      <c r="C41" s="90"/>
      <c r="D41" s="90"/>
      <c r="E41" s="91"/>
      <c r="F41" s="90"/>
      <c r="G41" s="90"/>
      <c r="H41" s="91"/>
      <c r="I41" s="91"/>
      <c r="J41" s="91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outlineLevel="2">
      <c r="A42" s="92" t="str">
        <f t="shared" si="3"/>
        <v>Brand-27</v>
      </c>
      <c r="B42" s="93" t="s">
        <v>185</v>
      </c>
      <c r="C42" s="93" t="s">
        <v>186</v>
      </c>
      <c r="D42" s="99" t="s">
        <v>187</v>
      </c>
      <c r="E42" s="99"/>
      <c r="F42" s="69" t="s">
        <v>188</v>
      </c>
      <c r="G42" s="99" t="s">
        <v>189</v>
      </c>
      <c r="H42" s="69" t="s">
        <v>57</v>
      </c>
      <c r="I42" s="94"/>
      <c r="J42" s="94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outlineLevel="2">
      <c r="A43" s="92" t="str">
        <f t="shared" si="3"/>
        <v>Brand-28</v>
      </c>
      <c r="B43" s="95"/>
      <c r="C43" s="96"/>
      <c r="D43" s="99" t="s">
        <v>190</v>
      </c>
      <c r="E43" s="99"/>
      <c r="F43" s="69" t="s">
        <v>188</v>
      </c>
      <c r="G43" s="99" t="s">
        <v>189</v>
      </c>
      <c r="H43" s="69" t="s">
        <v>57</v>
      </c>
      <c r="I43" s="94"/>
      <c r="J43" s="94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outlineLevel="2">
      <c r="A44" s="92" t="str">
        <f t="shared" si="3"/>
        <v>Brand-29</v>
      </c>
      <c r="B44" s="95"/>
      <c r="C44" s="93" t="s">
        <v>191</v>
      </c>
      <c r="D44" s="99" t="s">
        <v>192</v>
      </c>
      <c r="E44" s="99"/>
      <c r="F44" s="69" t="s">
        <v>188</v>
      </c>
      <c r="G44" s="99" t="s">
        <v>193</v>
      </c>
      <c r="H44" s="69" t="s">
        <v>57</v>
      </c>
      <c r="I44" s="94"/>
      <c r="J44" s="94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outlineLevel="2">
      <c r="A45" s="92" t="str">
        <f t="shared" si="3"/>
        <v>Brand-30</v>
      </c>
      <c r="B45" s="95"/>
      <c r="C45" s="95"/>
      <c r="D45" s="99" t="s">
        <v>194</v>
      </c>
      <c r="E45" s="99"/>
      <c r="F45" s="69" t="s">
        <v>188</v>
      </c>
      <c r="G45" s="99" t="s">
        <v>195</v>
      </c>
      <c r="H45" s="69" t="s">
        <v>74</v>
      </c>
      <c r="I45" s="94"/>
      <c r="J45" s="94" t="s">
        <v>196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outlineLevel="2">
      <c r="A46" s="92" t="str">
        <f t="shared" si="3"/>
        <v>Brand-31</v>
      </c>
      <c r="B46" s="95"/>
      <c r="C46" s="95"/>
      <c r="D46" s="69" t="s">
        <v>197</v>
      </c>
      <c r="E46" s="69"/>
      <c r="F46" s="69" t="s">
        <v>188</v>
      </c>
      <c r="G46" s="99" t="s">
        <v>193</v>
      </c>
      <c r="H46" s="69" t="s">
        <v>57</v>
      </c>
      <c r="I46" s="94"/>
      <c r="J46" s="94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outlineLevel="2">
      <c r="A47" s="92" t="str">
        <f t="shared" si="3"/>
        <v>Brand-32</v>
      </c>
      <c r="B47" s="95"/>
      <c r="C47" s="95"/>
      <c r="D47" s="69" t="s">
        <v>198</v>
      </c>
      <c r="E47" s="69"/>
      <c r="F47" s="69" t="s">
        <v>188</v>
      </c>
      <c r="G47" s="69" t="s">
        <v>199</v>
      </c>
      <c r="H47" s="69" t="s">
        <v>81</v>
      </c>
      <c r="I47" s="94"/>
      <c r="J47" s="94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outlineLevel="2">
      <c r="A48" s="92" t="str">
        <f t="shared" si="3"/>
        <v>Brand-33</v>
      </c>
      <c r="B48" s="95"/>
      <c r="C48" s="95"/>
      <c r="D48" s="69" t="s">
        <v>200</v>
      </c>
      <c r="E48" s="69"/>
      <c r="F48" s="69" t="s">
        <v>188</v>
      </c>
      <c r="G48" s="69" t="s">
        <v>199</v>
      </c>
      <c r="H48" s="69" t="s">
        <v>57</v>
      </c>
      <c r="I48" s="94"/>
      <c r="J48" s="94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outlineLevel="2">
      <c r="A49" s="92" t="str">
        <f t="shared" si="3"/>
        <v>Brand-34</v>
      </c>
      <c r="B49" s="96"/>
      <c r="C49" s="96"/>
      <c r="D49" s="69" t="s">
        <v>201</v>
      </c>
      <c r="E49" s="69"/>
      <c r="F49" s="69" t="s">
        <v>188</v>
      </c>
      <c r="G49" s="69" t="s">
        <v>199</v>
      </c>
      <c r="H49" s="69" t="s">
        <v>57</v>
      </c>
      <c r="I49" s="94"/>
      <c r="J49" s="94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outlineLevel="1">
      <c r="A50" s="92" t="str">
        <f t="shared" si="3"/>
        <v/>
      </c>
      <c r="B50" s="89" t="s">
        <v>158</v>
      </c>
      <c r="C50" s="90"/>
      <c r="D50" s="90"/>
      <c r="E50" s="91"/>
      <c r="F50" s="90"/>
      <c r="G50" s="90"/>
      <c r="H50" s="91"/>
      <c r="I50" s="91"/>
      <c r="J50" s="91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47.25" customHeight="1" outlineLevel="2">
      <c r="A51" s="92" t="str">
        <f t="shared" si="3"/>
        <v>Brand-35</v>
      </c>
      <c r="B51" s="93" t="s">
        <v>202</v>
      </c>
      <c r="C51" s="93" t="s">
        <v>203</v>
      </c>
      <c r="D51" s="93" t="s">
        <v>203</v>
      </c>
      <c r="E51" s="69"/>
      <c r="F51" s="93" t="s">
        <v>204</v>
      </c>
      <c r="G51" s="69" t="s">
        <v>205</v>
      </c>
      <c r="H51" s="69" t="s">
        <v>57</v>
      </c>
      <c r="I51" s="94"/>
      <c r="J51" s="94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outlineLevel="2">
      <c r="A52" s="92" t="str">
        <f t="shared" si="3"/>
        <v>Brand-36</v>
      </c>
      <c r="B52" s="95"/>
      <c r="C52" s="95"/>
      <c r="D52" s="95"/>
      <c r="E52" s="69"/>
      <c r="F52" s="95"/>
      <c r="G52" s="69" t="s">
        <v>206</v>
      </c>
      <c r="H52" s="69" t="s">
        <v>57</v>
      </c>
      <c r="I52" s="94"/>
      <c r="J52" s="94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outlineLevel="2">
      <c r="A53" s="92" t="str">
        <f t="shared" si="3"/>
        <v>Brand-37</v>
      </c>
      <c r="B53" s="95"/>
      <c r="C53" s="95"/>
      <c r="D53" s="95"/>
      <c r="E53" s="69"/>
      <c r="F53" s="95"/>
      <c r="G53" s="69" t="s">
        <v>207</v>
      </c>
      <c r="H53" s="69" t="s">
        <v>81</v>
      </c>
      <c r="I53" s="94"/>
      <c r="J53" s="94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outlineLevel="2">
      <c r="A54" s="92" t="str">
        <f t="shared" si="3"/>
        <v>Brand-38</v>
      </c>
      <c r="B54" s="95"/>
      <c r="C54" s="95"/>
      <c r="D54" s="95"/>
      <c r="E54" s="69"/>
      <c r="F54" s="96"/>
      <c r="G54" s="69" t="s">
        <v>208</v>
      </c>
      <c r="H54" s="69" t="s">
        <v>57</v>
      </c>
      <c r="I54" s="94"/>
      <c r="J54" s="94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outlineLevel="2">
      <c r="A55" s="92" t="str">
        <f t="shared" si="3"/>
        <v>Brand-39</v>
      </c>
      <c r="B55" s="96"/>
      <c r="C55" s="96"/>
      <c r="D55" s="96"/>
      <c r="E55" s="69"/>
      <c r="F55" s="69" t="s">
        <v>209</v>
      </c>
      <c r="G55" s="69" t="s">
        <v>210</v>
      </c>
      <c r="H55" s="69" t="s">
        <v>57</v>
      </c>
      <c r="I55" s="94"/>
      <c r="J55" s="94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outlineLevel="2">
      <c r="A56" s="92" t="str">
        <f t="shared" si="3"/>
        <v>Brand-40</v>
      </c>
      <c r="B56" s="93" t="s">
        <v>211</v>
      </c>
      <c r="C56" s="93" t="s">
        <v>212</v>
      </c>
      <c r="D56" s="93" t="s">
        <v>212</v>
      </c>
      <c r="E56" s="69"/>
      <c r="F56" s="93" t="s">
        <v>213</v>
      </c>
      <c r="G56" s="69" t="s">
        <v>214</v>
      </c>
      <c r="H56" s="69" t="s">
        <v>57</v>
      </c>
      <c r="I56" s="94"/>
      <c r="J56" s="94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outlineLevel="2">
      <c r="A57" s="92" t="str">
        <f t="shared" si="3"/>
        <v>Brand-41</v>
      </c>
      <c r="B57" s="95"/>
      <c r="C57" s="95"/>
      <c r="D57" s="95"/>
      <c r="E57" s="69"/>
      <c r="F57" s="93" t="s">
        <v>215</v>
      </c>
      <c r="G57" s="69" t="s">
        <v>216</v>
      </c>
      <c r="H57" s="69" t="s">
        <v>57</v>
      </c>
      <c r="I57" s="94"/>
      <c r="J57" s="94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outlineLevel="2">
      <c r="A58" s="92" t="str">
        <f t="shared" si="3"/>
        <v>Brand-42</v>
      </c>
      <c r="B58" s="95"/>
      <c r="C58" s="96"/>
      <c r="D58" s="96"/>
      <c r="E58" s="69"/>
      <c r="F58" s="93" t="s">
        <v>217</v>
      </c>
      <c r="G58" s="69" t="s">
        <v>218</v>
      </c>
      <c r="H58" s="69" t="s">
        <v>57</v>
      </c>
      <c r="I58" s="94"/>
      <c r="J58" s="94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outlineLevel="2">
      <c r="A59" s="92" t="str">
        <f t="shared" si="3"/>
        <v>Brand-43</v>
      </c>
      <c r="B59" s="96"/>
      <c r="C59" s="69" t="s">
        <v>219</v>
      </c>
      <c r="D59" s="69" t="s">
        <v>219</v>
      </c>
      <c r="E59" s="69"/>
      <c r="F59" s="93" t="s">
        <v>220</v>
      </c>
      <c r="G59" s="69" t="s">
        <v>206</v>
      </c>
      <c r="H59" s="69" t="s">
        <v>57</v>
      </c>
      <c r="I59" s="94"/>
      <c r="J59" s="94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85"/>
      <c r="B60" s="86" t="s">
        <v>221</v>
      </c>
      <c r="C60" s="87"/>
      <c r="D60" s="87"/>
      <c r="E60" s="87"/>
      <c r="F60" s="87"/>
      <c r="G60" s="87"/>
      <c r="H60" s="87"/>
      <c r="I60" s="87"/>
      <c r="J60" s="8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outlineLevel="1">
      <c r="A61" s="88"/>
      <c r="B61" s="89" t="s">
        <v>128</v>
      </c>
      <c r="C61" s="90"/>
      <c r="D61" s="90"/>
      <c r="E61" s="91"/>
      <c r="F61" s="90"/>
      <c r="G61" s="90"/>
      <c r="H61" s="91"/>
      <c r="I61" s="91"/>
      <c r="J61" s="91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outlineLevel="2">
      <c r="A62" s="92" t="str">
        <f t="shared" ref="A62:A84" si="4">IF(G62="","",$C$2&amp;"-"&amp;SUBTOTAL(3,$G$10:G62))</f>
        <v>Brand-44</v>
      </c>
      <c r="B62" s="93" t="s">
        <v>129</v>
      </c>
      <c r="C62" s="93" t="s">
        <v>130</v>
      </c>
      <c r="D62" s="93" t="s">
        <v>130</v>
      </c>
      <c r="E62" s="94"/>
      <c r="F62" s="93" t="s">
        <v>222</v>
      </c>
      <c r="G62" s="69" t="s">
        <v>223</v>
      </c>
      <c r="H62" s="69" t="s">
        <v>57</v>
      </c>
      <c r="I62" s="94"/>
      <c r="J62" s="94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outlineLevel="2">
      <c r="A63" s="92" t="str">
        <f t="shared" si="4"/>
        <v>Brand-45</v>
      </c>
      <c r="B63" s="95"/>
      <c r="C63" s="95"/>
      <c r="D63" s="95"/>
      <c r="E63" s="94"/>
      <c r="F63" s="95"/>
      <c r="G63" s="69" t="s">
        <v>133</v>
      </c>
      <c r="H63" s="69" t="s">
        <v>57</v>
      </c>
      <c r="I63" s="94"/>
      <c r="J63" s="94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outlineLevel="2">
      <c r="A64" s="92" t="str">
        <f t="shared" si="4"/>
        <v>Brand-46</v>
      </c>
      <c r="B64" s="95"/>
      <c r="C64" s="95"/>
      <c r="D64" s="95"/>
      <c r="E64" s="94"/>
      <c r="F64" s="95"/>
      <c r="G64" s="69" t="s">
        <v>134</v>
      </c>
      <c r="H64" s="69" t="s">
        <v>57</v>
      </c>
      <c r="I64" s="94"/>
      <c r="J64" s="94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outlineLevel="2">
      <c r="A65" s="92" t="str">
        <f t="shared" si="4"/>
        <v>Brand-47</v>
      </c>
      <c r="B65" s="95"/>
      <c r="C65" s="95"/>
      <c r="D65" s="95"/>
      <c r="E65" s="94"/>
      <c r="F65" s="95"/>
      <c r="G65" s="69" t="s">
        <v>135</v>
      </c>
      <c r="H65" s="69" t="s">
        <v>57</v>
      </c>
      <c r="I65" s="94"/>
      <c r="J65" s="9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outlineLevel="2">
      <c r="A66" s="92" t="str">
        <f t="shared" si="4"/>
        <v>Brand-48</v>
      </c>
      <c r="B66" s="95"/>
      <c r="C66" s="96"/>
      <c r="D66" s="96"/>
      <c r="E66" s="94"/>
      <c r="F66" s="96"/>
      <c r="G66" s="69" t="s">
        <v>178</v>
      </c>
      <c r="H66" s="69" t="s">
        <v>57</v>
      </c>
      <c r="I66" s="94"/>
      <c r="J66" s="94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outlineLevel="2">
      <c r="A67" s="92" t="str">
        <f t="shared" si="4"/>
        <v>Brand-49</v>
      </c>
      <c r="B67" s="95"/>
      <c r="C67" s="93" t="s">
        <v>180</v>
      </c>
      <c r="D67" s="93" t="s">
        <v>181</v>
      </c>
      <c r="E67" s="94"/>
      <c r="F67" s="69" t="s">
        <v>182</v>
      </c>
      <c r="G67" s="69" t="s">
        <v>224</v>
      </c>
      <c r="H67" s="69" t="s">
        <v>57</v>
      </c>
      <c r="I67" s="94"/>
      <c r="J67" s="94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outlineLevel="1">
      <c r="A68" s="92" t="str">
        <f t="shared" si="4"/>
        <v/>
      </c>
      <c r="B68" s="89" t="s">
        <v>149</v>
      </c>
      <c r="C68" s="90"/>
      <c r="D68" s="90"/>
      <c r="E68" s="91"/>
      <c r="F68" s="90"/>
      <c r="G68" s="90"/>
      <c r="H68" s="91"/>
      <c r="I68" s="91"/>
      <c r="J68" s="91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outlineLevel="2">
      <c r="A69" s="92" t="str">
        <f t="shared" si="4"/>
        <v>Brand-50</v>
      </c>
      <c r="B69" s="93" t="s">
        <v>185</v>
      </c>
      <c r="C69" s="93" t="s">
        <v>186</v>
      </c>
      <c r="D69" s="99" t="s">
        <v>187</v>
      </c>
      <c r="E69" s="99"/>
      <c r="F69" s="69" t="s">
        <v>188</v>
      </c>
      <c r="G69" s="99" t="s">
        <v>189</v>
      </c>
      <c r="H69" s="69" t="s">
        <v>57</v>
      </c>
      <c r="I69" s="94"/>
      <c r="J69" s="94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outlineLevel="2">
      <c r="A70" s="92" t="str">
        <f t="shared" si="4"/>
        <v>Brand-51</v>
      </c>
      <c r="B70" s="95"/>
      <c r="C70" s="96"/>
      <c r="D70" s="99" t="s">
        <v>190</v>
      </c>
      <c r="E70" s="99"/>
      <c r="F70" s="69" t="s">
        <v>188</v>
      </c>
      <c r="G70" s="99" t="s">
        <v>189</v>
      </c>
      <c r="H70" s="69" t="s">
        <v>57</v>
      </c>
      <c r="I70" s="94"/>
      <c r="J70" s="94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outlineLevel="2">
      <c r="A71" s="92" t="str">
        <f t="shared" si="4"/>
        <v>Brand-52</v>
      </c>
      <c r="B71" s="95"/>
      <c r="C71" s="93" t="s">
        <v>191</v>
      </c>
      <c r="D71" s="99" t="s">
        <v>192</v>
      </c>
      <c r="E71" s="99"/>
      <c r="F71" s="69" t="s">
        <v>188</v>
      </c>
      <c r="G71" s="99" t="s">
        <v>193</v>
      </c>
      <c r="H71" s="69" t="s">
        <v>57</v>
      </c>
      <c r="I71" s="94"/>
      <c r="J71" s="94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outlineLevel="2">
      <c r="A72" s="92" t="str">
        <f t="shared" si="4"/>
        <v>Brand-53</v>
      </c>
      <c r="B72" s="95"/>
      <c r="C72" s="95"/>
      <c r="D72" s="99" t="s">
        <v>194</v>
      </c>
      <c r="E72" s="99"/>
      <c r="F72" s="69" t="s">
        <v>188</v>
      </c>
      <c r="G72" s="99" t="s">
        <v>195</v>
      </c>
      <c r="H72" s="69" t="s">
        <v>57</v>
      </c>
      <c r="I72" s="94"/>
      <c r="J72" s="94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outlineLevel="2">
      <c r="A73" s="92" t="str">
        <f t="shared" si="4"/>
        <v>Brand-54</v>
      </c>
      <c r="B73" s="95"/>
      <c r="C73" s="95"/>
      <c r="D73" s="69" t="s">
        <v>197</v>
      </c>
      <c r="E73" s="69"/>
      <c r="F73" s="69" t="s">
        <v>188</v>
      </c>
      <c r="G73" s="99" t="s">
        <v>193</v>
      </c>
      <c r="H73" s="69" t="s">
        <v>57</v>
      </c>
      <c r="I73" s="94"/>
      <c r="J73" s="94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outlineLevel="2">
      <c r="A74" s="92" t="str">
        <f t="shared" si="4"/>
        <v>Brand-55</v>
      </c>
      <c r="B74" s="95"/>
      <c r="C74" s="95"/>
      <c r="D74" s="69" t="s">
        <v>198</v>
      </c>
      <c r="E74" s="69"/>
      <c r="F74" s="69" t="s">
        <v>188</v>
      </c>
      <c r="G74" s="69" t="s">
        <v>199</v>
      </c>
      <c r="H74" s="69" t="s">
        <v>57</v>
      </c>
      <c r="I74" s="94"/>
      <c r="J74" s="94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outlineLevel="2">
      <c r="A75" s="92" t="str">
        <f t="shared" si="4"/>
        <v>Brand-56</v>
      </c>
      <c r="B75" s="95"/>
      <c r="C75" s="95"/>
      <c r="D75" s="69" t="s">
        <v>200</v>
      </c>
      <c r="E75" s="69"/>
      <c r="F75" s="69" t="s">
        <v>188</v>
      </c>
      <c r="G75" s="69" t="s">
        <v>199</v>
      </c>
      <c r="H75" s="69" t="s">
        <v>57</v>
      </c>
      <c r="I75" s="94"/>
      <c r="J75" s="94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outlineLevel="2">
      <c r="A76" s="92" t="str">
        <f t="shared" si="4"/>
        <v>Brand-57</v>
      </c>
      <c r="B76" s="96"/>
      <c r="C76" s="96"/>
      <c r="D76" s="69" t="s">
        <v>201</v>
      </c>
      <c r="E76" s="69"/>
      <c r="F76" s="69" t="s">
        <v>188</v>
      </c>
      <c r="G76" s="69" t="s">
        <v>199</v>
      </c>
      <c r="H76" s="69" t="s">
        <v>57</v>
      </c>
      <c r="I76" s="94"/>
      <c r="J76" s="94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outlineLevel="1">
      <c r="A77" s="92" t="str">
        <f t="shared" si="4"/>
        <v/>
      </c>
      <c r="B77" s="89" t="s">
        <v>158</v>
      </c>
      <c r="C77" s="90"/>
      <c r="D77" s="90"/>
      <c r="E77" s="91"/>
      <c r="F77" s="90"/>
      <c r="G77" s="90"/>
      <c r="H77" s="91"/>
      <c r="I77" s="91"/>
      <c r="J77" s="91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outlineLevel="2">
      <c r="A78" s="92" t="str">
        <f t="shared" si="4"/>
        <v>Brand-58</v>
      </c>
      <c r="B78" s="69" t="s">
        <v>225</v>
      </c>
      <c r="C78" s="69" t="s">
        <v>226</v>
      </c>
      <c r="D78" s="69" t="s">
        <v>226</v>
      </c>
      <c r="E78" s="69"/>
      <c r="F78" s="93" t="s">
        <v>227</v>
      </c>
      <c r="G78" s="69" t="s">
        <v>228</v>
      </c>
      <c r="H78" s="69" t="s">
        <v>57</v>
      </c>
      <c r="I78" s="94"/>
      <c r="J78" s="94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outlineLevel="2">
      <c r="A79" s="92" t="str">
        <f t="shared" si="4"/>
        <v>Brand-59</v>
      </c>
      <c r="B79" s="69"/>
      <c r="C79" s="69"/>
      <c r="D79" s="99"/>
      <c r="E79" s="69"/>
      <c r="F79" s="95"/>
      <c r="G79" s="69" t="s">
        <v>229</v>
      </c>
      <c r="H79" s="69" t="s">
        <v>57</v>
      </c>
      <c r="I79" s="94"/>
      <c r="J79" s="94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outlineLevel="2">
      <c r="A80" s="92" t="str">
        <f t="shared" si="4"/>
        <v>Brand-60</v>
      </c>
      <c r="B80" s="69"/>
      <c r="C80" s="69"/>
      <c r="D80" s="69"/>
      <c r="E80" s="69"/>
      <c r="F80" s="95"/>
      <c r="G80" s="69" t="s">
        <v>230</v>
      </c>
      <c r="H80" s="69" t="s">
        <v>57</v>
      </c>
      <c r="I80" s="94"/>
      <c r="J80" s="94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outlineLevel="2">
      <c r="A81" s="92" t="str">
        <f t="shared" si="4"/>
        <v>Brand-61</v>
      </c>
      <c r="B81" s="69"/>
      <c r="C81" s="69"/>
      <c r="D81" s="69"/>
      <c r="E81" s="69"/>
      <c r="F81" s="96"/>
      <c r="G81" s="69" t="s">
        <v>231</v>
      </c>
      <c r="H81" s="69" t="s">
        <v>57</v>
      </c>
      <c r="I81" s="94"/>
      <c r="J81" s="94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outlineLevel="2">
      <c r="A82" s="92" t="str">
        <f t="shared" si="4"/>
        <v>Brand-62</v>
      </c>
      <c r="B82" s="69"/>
      <c r="C82" s="69"/>
      <c r="D82" s="69"/>
      <c r="E82" s="69"/>
      <c r="F82" s="69" t="s">
        <v>209</v>
      </c>
      <c r="G82" s="69" t="s">
        <v>232</v>
      </c>
      <c r="H82" s="69" t="s">
        <v>57</v>
      </c>
      <c r="I82" s="94"/>
      <c r="J82" s="94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outlineLevel="2">
      <c r="A83" s="92" t="str">
        <f t="shared" si="4"/>
        <v>Brand-63</v>
      </c>
      <c r="B83" s="69"/>
      <c r="C83" s="69"/>
      <c r="D83" s="69"/>
      <c r="E83" s="69"/>
      <c r="F83" s="93" t="s">
        <v>233</v>
      </c>
      <c r="G83" s="69" t="s">
        <v>234</v>
      </c>
      <c r="H83" s="69" t="s">
        <v>57</v>
      </c>
      <c r="I83" s="94"/>
      <c r="J83" s="94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outlineLevel="2">
      <c r="A84" s="92" t="str">
        <f t="shared" si="4"/>
        <v>Brand-64</v>
      </c>
      <c r="B84" s="94"/>
      <c r="C84" s="69" t="s">
        <v>235</v>
      </c>
      <c r="D84" s="69" t="s">
        <v>226</v>
      </c>
      <c r="E84" s="94"/>
      <c r="F84" s="93" t="s">
        <v>236</v>
      </c>
      <c r="G84" s="69" t="s">
        <v>237</v>
      </c>
      <c r="H84" s="69" t="s">
        <v>57</v>
      </c>
      <c r="I84" s="94"/>
      <c r="J84" s="94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85"/>
      <c r="B85" s="86" t="s">
        <v>238</v>
      </c>
      <c r="C85" s="87"/>
      <c r="D85" s="87"/>
      <c r="E85" s="87"/>
      <c r="F85" s="87"/>
      <c r="G85" s="87"/>
      <c r="H85" s="87"/>
      <c r="I85" s="87"/>
      <c r="J85" s="8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outlineLevel="1">
      <c r="A86" s="88"/>
      <c r="B86" s="89" t="s">
        <v>128</v>
      </c>
      <c r="C86" s="90"/>
      <c r="D86" s="90"/>
      <c r="E86" s="91"/>
      <c r="F86" s="90"/>
      <c r="G86" s="90"/>
      <c r="H86" s="91"/>
      <c r="I86" s="91"/>
      <c r="J86" s="91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outlineLevel="2">
      <c r="A87" s="92" t="str">
        <f t="shared" ref="A87:A97" si="5">IF(G87="","",$C$2&amp;"-"&amp;SUBTOTAL(3,$G$10:G87))</f>
        <v>Brand-65</v>
      </c>
      <c r="B87" s="93" t="s">
        <v>129</v>
      </c>
      <c r="C87" s="93" t="s">
        <v>130</v>
      </c>
      <c r="D87" s="93" t="s">
        <v>130</v>
      </c>
      <c r="E87" s="94"/>
      <c r="F87" s="93" t="s">
        <v>239</v>
      </c>
      <c r="G87" s="69" t="s">
        <v>240</v>
      </c>
      <c r="H87" s="69" t="s">
        <v>57</v>
      </c>
      <c r="I87" s="94"/>
      <c r="J87" s="94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outlineLevel="1">
      <c r="A88" s="92" t="str">
        <f t="shared" si="5"/>
        <v/>
      </c>
      <c r="B88" s="89" t="s">
        <v>149</v>
      </c>
      <c r="C88" s="90"/>
      <c r="D88" s="90"/>
      <c r="E88" s="91"/>
      <c r="F88" s="90"/>
      <c r="G88" s="90"/>
      <c r="H88" s="91"/>
      <c r="I88" s="91"/>
      <c r="J88" s="91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outlineLevel="2">
      <c r="A89" s="92" t="str">
        <f t="shared" si="5"/>
        <v>Brand-66</v>
      </c>
      <c r="B89" s="93" t="s">
        <v>241</v>
      </c>
      <c r="C89" s="93" t="s">
        <v>241</v>
      </c>
      <c r="D89" s="99" t="s">
        <v>242</v>
      </c>
      <c r="E89" s="99"/>
      <c r="F89" s="93" t="s">
        <v>243</v>
      </c>
      <c r="G89" s="99" t="s">
        <v>244</v>
      </c>
      <c r="H89" s="69" t="s">
        <v>57</v>
      </c>
      <c r="I89" s="94"/>
      <c r="J89" s="94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outlineLevel="2">
      <c r="A90" s="92" t="str">
        <f t="shared" si="5"/>
        <v>Brand-67</v>
      </c>
      <c r="B90" s="96"/>
      <c r="C90" s="96"/>
      <c r="D90" s="99" t="s">
        <v>245</v>
      </c>
      <c r="E90" s="99"/>
      <c r="F90" s="93" t="s">
        <v>243</v>
      </c>
      <c r="G90" s="99" t="s">
        <v>244</v>
      </c>
      <c r="H90" s="69" t="s">
        <v>57</v>
      </c>
      <c r="I90" s="94"/>
      <c r="J90" s="94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outlineLevel="2">
      <c r="A91" s="92" t="str">
        <f t="shared" si="5"/>
        <v>Brand-68</v>
      </c>
      <c r="B91" s="93" t="s">
        <v>246</v>
      </c>
      <c r="C91" s="93" t="s">
        <v>246</v>
      </c>
      <c r="D91" s="99" t="s">
        <v>242</v>
      </c>
      <c r="E91" s="69"/>
      <c r="F91" s="93" t="s">
        <v>247</v>
      </c>
      <c r="G91" s="99" t="s">
        <v>248</v>
      </c>
      <c r="H91" s="69" t="s">
        <v>57</v>
      </c>
      <c r="I91" s="94"/>
      <c r="J91" s="94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outlineLevel="2">
      <c r="A92" s="92" t="str">
        <f t="shared" si="5"/>
        <v>Brand-69</v>
      </c>
      <c r="B92" s="96"/>
      <c r="C92" s="96"/>
      <c r="D92" s="99" t="s">
        <v>245</v>
      </c>
      <c r="E92" s="69"/>
      <c r="F92" s="93" t="s">
        <v>247</v>
      </c>
      <c r="G92" s="69" t="s">
        <v>249</v>
      </c>
      <c r="H92" s="69" t="s">
        <v>57</v>
      </c>
      <c r="I92" s="94"/>
      <c r="J92" s="94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outlineLevel="1">
      <c r="A93" s="92" t="str">
        <f t="shared" si="5"/>
        <v/>
      </c>
      <c r="B93" s="89" t="s">
        <v>158</v>
      </c>
      <c r="C93" s="90"/>
      <c r="D93" s="90"/>
      <c r="E93" s="91"/>
      <c r="F93" s="90"/>
      <c r="G93" s="90"/>
      <c r="H93" s="91"/>
      <c r="I93" s="91"/>
      <c r="J93" s="91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47.25" customHeight="1" outlineLevel="2">
      <c r="A94" s="92" t="str">
        <f t="shared" si="5"/>
        <v>Brand-70</v>
      </c>
      <c r="B94" s="93" t="s">
        <v>250</v>
      </c>
      <c r="C94" s="93" t="s">
        <v>251</v>
      </c>
      <c r="D94" s="93" t="s">
        <v>251</v>
      </c>
      <c r="E94" s="69"/>
      <c r="F94" s="93" t="s">
        <v>247</v>
      </c>
      <c r="G94" s="99" t="s">
        <v>248</v>
      </c>
      <c r="H94" s="69" t="s">
        <v>57</v>
      </c>
      <c r="I94" s="94"/>
      <c r="J94" s="94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outlineLevel="2">
      <c r="A95" s="92" t="str">
        <f t="shared" si="5"/>
        <v>Brand-71</v>
      </c>
      <c r="B95" s="95"/>
      <c r="C95" s="95"/>
      <c r="D95" s="95"/>
      <c r="E95" s="69"/>
      <c r="F95" s="95"/>
      <c r="G95" s="69" t="s">
        <v>252</v>
      </c>
      <c r="H95" s="69" t="s">
        <v>57</v>
      </c>
      <c r="I95" s="94"/>
      <c r="J95" s="94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outlineLevel="2">
      <c r="A96" s="92" t="str">
        <f t="shared" si="5"/>
        <v>Brand-72</v>
      </c>
      <c r="B96" s="95"/>
      <c r="C96" s="95"/>
      <c r="D96" s="95"/>
      <c r="E96" s="69"/>
      <c r="F96" s="96"/>
      <c r="G96" s="69" t="s">
        <v>253</v>
      </c>
      <c r="H96" s="69" t="s">
        <v>57</v>
      </c>
      <c r="I96" s="94"/>
      <c r="J96" s="94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outlineLevel="2">
      <c r="A97" s="92" t="str">
        <f t="shared" si="5"/>
        <v>Brand-73</v>
      </c>
      <c r="B97" s="96"/>
      <c r="C97" s="96"/>
      <c r="D97" s="96"/>
      <c r="E97" s="69"/>
      <c r="F97" s="69" t="s">
        <v>254</v>
      </c>
      <c r="G97" s="69" t="s">
        <v>255</v>
      </c>
      <c r="H97" s="69" t="s">
        <v>57</v>
      </c>
      <c r="I97" s="94"/>
      <c r="J97" s="94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70"/>
      <c r="D98" s="70"/>
      <c r="E98" s="67"/>
      <c r="F98" s="70"/>
      <c r="G98" s="70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70"/>
      <c r="D99" s="70"/>
      <c r="E99" s="67"/>
      <c r="F99" s="70"/>
      <c r="G99" s="70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70"/>
      <c r="D100" s="70"/>
      <c r="E100" s="67"/>
      <c r="F100" s="70"/>
      <c r="G100" s="70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70"/>
      <c r="D101" s="70"/>
      <c r="E101" s="67"/>
      <c r="F101" s="70"/>
      <c r="G101" s="70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70"/>
      <c r="D102" s="70"/>
      <c r="E102" s="67"/>
      <c r="F102" s="70"/>
      <c r="G102" s="70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70"/>
      <c r="D103" s="70"/>
      <c r="E103" s="67"/>
      <c r="F103" s="70"/>
      <c r="G103" s="70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70"/>
      <c r="D104" s="70"/>
      <c r="E104" s="67"/>
      <c r="F104" s="70"/>
      <c r="G104" s="70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70"/>
      <c r="D105" s="70"/>
      <c r="E105" s="67"/>
      <c r="F105" s="70"/>
      <c r="G105" s="70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70"/>
      <c r="D106" s="70"/>
      <c r="E106" s="67"/>
      <c r="F106" s="70"/>
      <c r="G106" s="70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70"/>
      <c r="D107" s="70"/>
      <c r="E107" s="67"/>
      <c r="F107" s="70"/>
      <c r="G107" s="70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70"/>
      <c r="D108" s="70"/>
      <c r="E108" s="67"/>
      <c r="F108" s="70"/>
      <c r="G108" s="70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70"/>
      <c r="D109" s="70"/>
      <c r="E109" s="67"/>
      <c r="F109" s="70"/>
      <c r="G109" s="70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70"/>
      <c r="D110" s="70"/>
      <c r="E110" s="67"/>
      <c r="F110" s="70"/>
      <c r="G110" s="70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70"/>
      <c r="D111" s="70"/>
      <c r="E111" s="67"/>
      <c r="F111" s="70"/>
      <c r="G111" s="70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70"/>
      <c r="D112" s="70"/>
      <c r="E112" s="67"/>
      <c r="F112" s="70"/>
      <c r="G112" s="70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70"/>
      <c r="D113" s="70"/>
      <c r="E113" s="67"/>
      <c r="F113" s="70"/>
      <c r="G113" s="70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70"/>
      <c r="D114" s="70"/>
      <c r="E114" s="67"/>
      <c r="F114" s="70"/>
      <c r="G114" s="70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70"/>
      <c r="D115" s="70"/>
      <c r="E115" s="67"/>
      <c r="F115" s="70"/>
      <c r="G115" s="70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70"/>
      <c r="D116" s="70"/>
      <c r="E116" s="67"/>
      <c r="F116" s="70"/>
      <c r="G116" s="70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70"/>
      <c r="D117" s="70"/>
      <c r="E117" s="67"/>
      <c r="F117" s="70"/>
      <c r="G117" s="70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70"/>
      <c r="D118" s="70"/>
      <c r="E118" s="67"/>
      <c r="F118" s="70"/>
      <c r="G118" s="70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70"/>
      <c r="D119" s="70"/>
      <c r="E119" s="67"/>
      <c r="F119" s="70"/>
      <c r="G119" s="70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70"/>
      <c r="D120" s="70"/>
      <c r="E120" s="67"/>
      <c r="F120" s="70"/>
      <c r="G120" s="70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70"/>
      <c r="D121" s="70"/>
      <c r="E121" s="67"/>
      <c r="F121" s="70"/>
      <c r="G121" s="70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70"/>
      <c r="D122" s="70"/>
      <c r="E122" s="67"/>
      <c r="F122" s="70"/>
      <c r="G122" s="70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70"/>
      <c r="D123" s="70"/>
      <c r="E123" s="67"/>
      <c r="F123" s="70"/>
      <c r="G123" s="70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70"/>
      <c r="D124" s="70"/>
      <c r="E124" s="67"/>
      <c r="F124" s="70"/>
      <c r="G124" s="70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70"/>
      <c r="D125" s="70"/>
      <c r="E125" s="67"/>
      <c r="F125" s="70"/>
      <c r="G125" s="70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70"/>
      <c r="D126" s="70"/>
      <c r="E126" s="67"/>
      <c r="F126" s="70"/>
      <c r="G126" s="70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70"/>
      <c r="D127" s="70"/>
      <c r="E127" s="67"/>
      <c r="F127" s="70"/>
      <c r="G127" s="70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70"/>
      <c r="D128" s="70"/>
      <c r="E128" s="67"/>
      <c r="F128" s="70"/>
      <c r="G128" s="70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70"/>
      <c r="D129" s="70"/>
      <c r="E129" s="67"/>
      <c r="F129" s="70"/>
      <c r="G129" s="70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70"/>
      <c r="D130" s="70"/>
      <c r="E130" s="67"/>
      <c r="F130" s="70"/>
      <c r="G130" s="70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70"/>
      <c r="D131" s="70"/>
      <c r="E131" s="67"/>
      <c r="F131" s="70"/>
      <c r="G131" s="70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70"/>
      <c r="D132" s="70"/>
      <c r="E132" s="67"/>
      <c r="F132" s="70"/>
      <c r="G132" s="70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70"/>
      <c r="D133" s="70"/>
      <c r="E133" s="67"/>
      <c r="F133" s="70"/>
      <c r="G133" s="70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70"/>
      <c r="D134" s="70"/>
      <c r="E134" s="67"/>
      <c r="F134" s="70"/>
      <c r="G134" s="70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70"/>
      <c r="D135" s="70"/>
      <c r="E135" s="67"/>
      <c r="F135" s="70"/>
      <c r="G135" s="70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70"/>
      <c r="D136" s="70"/>
      <c r="E136" s="67"/>
      <c r="F136" s="70"/>
      <c r="G136" s="70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70"/>
      <c r="D137" s="70"/>
      <c r="E137" s="67"/>
      <c r="F137" s="70"/>
      <c r="G137" s="70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70"/>
      <c r="D138" s="70"/>
      <c r="E138" s="67"/>
      <c r="F138" s="70"/>
      <c r="G138" s="70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70"/>
      <c r="D139" s="70"/>
      <c r="E139" s="67"/>
      <c r="F139" s="70"/>
      <c r="G139" s="70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70"/>
      <c r="D140" s="70"/>
      <c r="E140" s="67"/>
      <c r="F140" s="70"/>
      <c r="G140" s="70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70"/>
      <c r="D141" s="70"/>
      <c r="E141" s="67"/>
      <c r="F141" s="70"/>
      <c r="G141" s="70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70"/>
      <c r="D142" s="70"/>
      <c r="E142" s="67"/>
      <c r="F142" s="70"/>
      <c r="G142" s="70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70"/>
      <c r="D143" s="70"/>
      <c r="E143" s="67"/>
      <c r="F143" s="70"/>
      <c r="G143" s="70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70"/>
      <c r="D144" s="70"/>
      <c r="E144" s="67"/>
      <c r="F144" s="70"/>
      <c r="G144" s="70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70"/>
      <c r="D145" s="70"/>
      <c r="E145" s="67"/>
      <c r="F145" s="70"/>
      <c r="G145" s="70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70"/>
      <c r="D146" s="70"/>
      <c r="E146" s="67"/>
      <c r="F146" s="70"/>
      <c r="G146" s="70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70"/>
      <c r="D147" s="70"/>
      <c r="E147" s="67"/>
      <c r="F147" s="70"/>
      <c r="G147" s="70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70"/>
      <c r="D148" s="70"/>
      <c r="E148" s="67"/>
      <c r="F148" s="70"/>
      <c r="G148" s="70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70"/>
      <c r="D149" s="70"/>
      <c r="E149" s="67"/>
      <c r="F149" s="70"/>
      <c r="G149" s="70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70"/>
      <c r="D150" s="70"/>
      <c r="E150" s="67"/>
      <c r="F150" s="70"/>
      <c r="G150" s="70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70"/>
      <c r="D151" s="70"/>
      <c r="E151" s="67"/>
      <c r="F151" s="70"/>
      <c r="G151" s="70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70"/>
      <c r="D152" s="70"/>
      <c r="E152" s="67"/>
      <c r="F152" s="70"/>
      <c r="G152" s="70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70"/>
      <c r="D153" s="70"/>
      <c r="E153" s="67"/>
      <c r="F153" s="70"/>
      <c r="G153" s="70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70"/>
      <c r="D154" s="70"/>
      <c r="E154" s="67"/>
      <c r="F154" s="70"/>
      <c r="G154" s="70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70"/>
      <c r="D155" s="70"/>
      <c r="E155" s="67"/>
      <c r="F155" s="70"/>
      <c r="G155" s="70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70"/>
      <c r="D156" s="70"/>
      <c r="E156" s="67"/>
      <c r="F156" s="70"/>
      <c r="G156" s="70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70"/>
      <c r="D157" s="70"/>
      <c r="E157" s="67"/>
      <c r="F157" s="70"/>
      <c r="G157" s="70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70"/>
      <c r="D158" s="70"/>
      <c r="E158" s="67"/>
      <c r="F158" s="70"/>
      <c r="G158" s="70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70"/>
      <c r="D159" s="70"/>
      <c r="E159" s="67"/>
      <c r="F159" s="70"/>
      <c r="G159" s="70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70"/>
      <c r="D160" s="70"/>
      <c r="E160" s="67"/>
      <c r="F160" s="70"/>
      <c r="G160" s="70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70"/>
      <c r="D161" s="70"/>
      <c r="E161" s="67"/>
      <c r="F161" s="70"/>
      <c r="G161" s="70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70"/>
      <c r="D162" s="70"/>
      <c r="E162" s="67"/>
      <c r="F162" s="70"/>
      <c r="G162" s="70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70"/>
      <c r="D163" s="70"/>
      <c r="E163" s="67"/>
      <c r="F163" s="70"/>
      <c r="G163" s="70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70"/>
      <c r="D164" s="70"/>
      <c r="E164" s="67"/>
      <c r="F164" s="70"/>
      <c r="G164" s="70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70"/>
      <c r="D165" s="70"/>
      <c r="E165" s="67"/>
      <c r="F165" s="70"/>
      <c r="G165" s="70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70"/>
      <c r="D166" s="70"/>
      <c r="E166" s="67"/>
      <c r="F166" s="70"/>
      <c r="G166" s="70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70"/>
      <c r="D167" s="70"/>
      <c r="E167" s="67"/>
      <c r="F167" s="70"/>
      <c r="G167" s="70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70"/>
      <c r="D168" s="70"/>
      <c r="E168" s="67"/>
      <c r="F168" s="70"/>
      <c r="G168" s="70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70"/>
      <c r="D169" s="70"/>
      <c r="E169" s="67"/>
      <c r="F169" s="70"/>
      <c r="G169" s="70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70"/>
      <c r="D170" s="70"/>
      <c r="E170" s="67"/>
      <c r="F170" s="70"/>
      <c r="G170" s="70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70"/>
      <c r="D171" s="70"/>
      <c r="E171" s="67"/>
      <c r="F171" s="70"/>
      <c r="G171" s="70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70"/>
      <c r="D172" s="70"/>
      <c r="E172" s="67"/>
      <c r="F172" s="70"/>
      <c r="G172" s="70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70"/>
      <c r="D173" s="70"/>
      <c r="E173" s="67"/>
      <c r="F173" s="70"/>
      <c r="G173" s="70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70"/>
      <c r="D174" s="70"/>
      <c r="E174" s="67"/>
      <c r="F174" s="70"/>
      <c r="G174" s="70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70"/>
      <c r="D175" s="70"/>
      <c r="E175" s="67"/>
      <c r="F175" s="70"/>
      <c r="G175" s="70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70"/>
      <c r="D176" s="70"/>
      <c r="E176" s="67"/>
      <c r="F176" s="70"/>
      <c r="G176" s="70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70"/>
      <c r="D177" s="70"/>
      <c r="E177" s="67"/>
      <c r="F177" s="70"/>
      <c r="G177" s="70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70"/>
      <c r="D178" s="70"/>
      <c r="E178" s="67"/>
      <c r="F178" s="70"/>
      <c r="G178" s="70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70"/>
      <c r="D179" s="70"/>
      <c r="E179" s="67"/>
      <c r="F179" s="70"/>
      <c r="G179" s="70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70"/>
      <c r="D180" s="70"/>
      <c r="E180" s="67"/>
      <c r="F180" s="70"/>
      <c r="G180" s="70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70"/>
      <c r="D181" s="70"/>
      <c r="E181" s="67"/>
      <c r="F181" s="70"/>
      <c r="G181" s="70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70"/>
      <c r="D182" s="70"/>
      <c r="E182" s="67"/>
      <c r="F182" s="70"/>
      <c r="G182" s="70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70"/>
      <c r="D183" s="70"/>
      <c r="E183" s="67"/>
      <c r="F183" s="70"/>
      <c r="G183" s="70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70"/>
      <c r="D184" s="70"/>
      <c r="E184" s="67"/>
      <c r="F184" s="70"/>
      <c r="G184" s="70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70"/>
      <c r="D185" s="70"/>
      <c r="E185" s="67"/>
      <c r="F185" s="70"/>
      <c r="G185" s="70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70"/>
      <c r="D186" s="70"/>
      <c r="E186" s="67"/>
      <c r="F186" s="70"/>
      <c r="G186" s="70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70"/>
      <c r="D187" s="70"/>
      <c r="E187" s="67"/>
      <c r="F187" s="70"/>
      <c r="G187" s="70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70"/>
      <c r="D188" s="70"/>
      <c r="E188" s="67"/>
      <c r="F188" s="70"/>
      <c r="G188" s="70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70"/>
      <c r="D189" s="70"/>
      <c r="E189" s="67"/>
      <c r="F189" s="70"/>
      <c r="G189" s="70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70"/>
      <c r="D190" s="70"/>
      <c r="E190" s="67"/>
      <c r="F190" s="70"/>
      <c r="G190" s="70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70"/>
      <c r="D191" s="70"/>
      <c r="E191" s="67"/>
      <c r="F191" s="70"/>
      <c r="G191" s="70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70"/>
      <c r="D192" s="70"/>
      <c r="E192" s="67"/>
      <c r="F192" s="70"/>
      <c r="G192" s="70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70"/>
      <c r="D193" s="70"/>
      <c r="E193" s="67"/>
      <c r="F193" s="70"/>
      <c r="G193" s="70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70"/>
      <c r="D194" s="70"/>
      <c r="E194" s="67"/>
      <c r="F194" s="70"/>
      <c r="G194" s="70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70"/>
      <c r="D195" s="70"/>
      <c r="E195" s="67"/>
      <c r="F195" s="70"/>
      <c r="G195" s="70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70"/>
      <c r="D196" s="70"/>
      <c r="E196" s="67"/>
      <c r="F196" s="70"/>
      <c r="G196" s="70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70"/>
      <c r="D197" s="70"/>
      <c r="E197" s="67"/>
      <c r="F197" s="70"/>
      <c r="G197" s="70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70"/>
      <c r="D198" s="70"/>
      <c r="E198" s="67"/>
      <c r="F198" s="70"/>
      <c r="G198" s="70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70"/>
      <c r="D199" s="70"/>
      <c r="E199" s="67"/>
      <c r="F199" s="70"/>
      <c r="G199" s="70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70"/>
      <c r="D200" s="70"/>
      <c r="E200" s="67"/>
      <c r="F200" s="70"/>
      <c r="G200" s="70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70"/>
      <c r="D201" s="70"/>
      <c r="E201" s="67"/>
      <c r="F201" s="70"/>
      <c r="G201" s="70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70"/>
      <c r="D202" s="70"/>
      <c r="E202" s="67"/>
      <c r="F202" s="70"/>
      <c r="G202" s="70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70"/>
      <c r="D203" s="70"/>
      <c r="E203" s="67"/>
      <c r="F203" s="70"/>
      <c r="G203" s="70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70"/>
      <c r="D204" s="70"/>
      <c r="E204" s="67"/>
      <c r="F204" s="70"/>
      <c r="G204" s="70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70"/>
      <c r="D205" s="70"/>
      <c r="E205" s="67"/>
      <c r="F205" s="70"/>
      <c r="G205" s="70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70"/>
      <c r="D206" s="70"/>
      <c r="E206" s="67"/>
      <c r="F206" s="70"/>
      <c r="G206" s="70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70"/>
      <c r="D207" s="70"/>
      <c r="E207" s="67"/>
      <c r="F207" s="70"/>
      <c r="G207" s="70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70"/>
      <c r="D208" s="70"/>
      <c r="E208" s="67"/>
      <c r="F208" s="70"/>
      <c r="G208" s="70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70"/>
      <c r="D209" s="70"/>
      <c r="E209" s="67"/>
      <c r="F209" s="70"/>
      <c r="G209" s="70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70"/>
      <c r="D210" s="70"/>
      <c r="E210" s="67"/>
      <c r="F210" s="70"/>
      <c r="G210" s="70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70"/>
      <c r="D211" s="70"/>
      <c r="E211" s="67"/>
      <c r="F211" s="70"/>
      <c r="G211" s="70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70"/>
      <c r="D212" s="70"/>
      <c r="E212" s="67"/>
      <c r="F212" s="70"/>
      <c r="G212" s="70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70"/>
      <c r="D213" s="70"/>
      <c r="E213" s="67"/>
      <c r="F213" s="70"/>
      <c r="G213" s="70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70"/>
      <c r="D214" s="70"/>
      <c r="E214" s="67"/>
      <c r="F214" s="70"/>
      <c r="G214" s="70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70"/>
      <c r="D215" s="70"/>
      <c r="E215" s="67"/>
      <c r="F215" s="70"/>
      <c r="G215" s="70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70"/>
      <c r="D216" s="70"/>
      <c r="E216" s="67"/>
      <c r="F216" s="70"/>
      <c r="G216" s="70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70"/>
      <c r="D217" s="70"/>
      <c r="E217" s="67"/>
      <c r="F217" s="70"/>
      <c r="G217" s="70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70"/>
      <c r="D218" s="70"/>
      <c r="E218" s="67"/>
      <c r="F218" s="70"/>
      <c r="G218" s="70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70"/>
      <c r="D219" s="70"/>
      <c r="E219" s="67"/>
      <c r="F219" s="70"/>
      <c r="G219" s="70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70"/>
      <c r="D220" s="70"/>
      <c r="E220" s="67"/>
      <c r="F220" s="70"/>
      <c r="G220" s="70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70"/>
      <c r="D221" s="70"/>
      <c r="E221" s="67"/>
      <c r="F221" s="70"/>
      <c r="G221" s="70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70"/>
      <c r="D222" s="70"/>
      <c r="E222" s="67"/>
      <c r="F222" s="70"/>
      <c r="G222" s="70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70"/>
      <c r="D223" s="70"/>
      <c r="E223" s="67"/>
      <c r="F223" s="70"/>
      <c r="G223" s="70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70"/>
      <c r="D224" s="70"/>
      <c r="E224" s="67"/>
      <c r="F224" s="70"/>
      <c r="G224" s="70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70"/>
      <c r="D225" s="70"/>
      <c r="E225" s="67"/>
      <c r="F225" s="70"/>
      <c r="G225" s="70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70"/>
      <c r="D226" s="70"/>
      <c r="E226" s="67"/>
      <c r="F226" s="70"/>
      <c r="G226" s="70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70"/>
      <c r="D227" s="70"/>
      <c r="E227" s="67"/>
      <c r="F227" s="70"/>
      <c r="G227" s="70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70"/>
      <c r="D228" s="70"/>
      <c r="E228" s="67"/>
      <c r="F228" s="70"/>
      <c r="G228" s="70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70"/>
      <c r="D229" s="70"/>
      <c r="E229" s="67"/>
      <c r="F229" s="70"/>
      <c r="G229" s="70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70"/>
      <c r="D230" s="70"/>
      <c r="E230" s="67"/>
      <c r="F230" s="70"/>
      <c r="G230" s="70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70"/>
      <c r="D231" s="70"/>
      <c r="E231" s="67"/>
      <c r="F231" s="70"/>
      <c r="G231" s="70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70"/>
      <c r="D232" s="70"/>
      <c r="E232" s="67"/>
      <c r="F232" s="70"/>
      <c r="G232" s="70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70"/>
      <c r="D233" s="70"/>
      <c r="E233" s="67"/>
      <c r="F233" s="70"/>
      <c r="G233" s="70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70"/>
      <c r="D234" s="70"/>
      <c r="E234" s="67"/>
      <c r="F234" s="70"/>
      <c r="G234" s="70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70"/>
      <c r="D235" s="70"/>
      <c r="E235" s="67"/>
      <c r="F235" s="70"/>
      <c r="G235" s="70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70"/>
      <c r="D236" s="70"/>
      <c r="E236" s="67"/>
      <c r="F236" s="70"/>
      <c r="G236" s="70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70"/>
      <c r="D237" s="70"/>
      <c r="E237" s="67"/>
      <c r="F237" s="70"/>
      <c r="G237" s="70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70"/>
      <c r="D238" s="70"/>
      <c r="E238" s="67"/>
      <c r="F238" s="70"/>
      <c r="G238" s="70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70"/>
      <c r="D239" s="70"/>
      <c r="E239" s="67"/>
      <c r="F239" s="70"/>
      <c r="G239" s="70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70"/>
      <c r="D240" s="70"/>
      <c r="E240" s="67"/>
      <c r="F240" s="70"/>
      <c r="G240" s="70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70"/>
      <c r="D241" s="70"/>
      <c r="E241" s="67"/>
      <c r="F241" s="70"/>
      <c r="G241" s="70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70"/>
      <c r="D242" s="70"/>
      <c r="E242" s="67"/>
      <c r="F242" s="70"/>
      <c r="G242" s="70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70"/>
      <c r="D243" s="70"/>
      <c r="E243" s="67"/>
      <c r="F243" s="70"/>
      <c r="G243" s="70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70"/>
      <c r="D244" s="70"/>
      <c r="E244" s="67"/>
      <c r="F244" s="70"/>
      <c r="G244" s="70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70"/>
      <c r="D245" s="70"/>
      <c r="E245" s="67"/>
      <c r="F245" s="70"/>
      <c r="G245" s="70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70"/>
      <c r="D246" s="70"/>
      <c r="E246" s="67"/>
      <c r="F246" s="70"/>
      <c r="G246" s="70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70"/>
      <c r="D247" s="70"/>
      <c r="E247" s="67"/>
      <c r="F247" s="70"/>
      <c r="G247" s="70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70"/>
      <c r="D248" s="70"/>
      <c r="E248" s="67"/>
      <c r="F248" s="70"/>
      <c r="G248" s="70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70"/>
      <c r="D249" s="70"/>
      <c r="E249" s="67"/>
      <c r="F249" s="70"/>
      <c r="G249" s="70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70"/>
      <c r="D250" s="70"/>
      <c r="E250" s="67"/>
      <c r="F250" s="70"/>
      <c r="G250" s="70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70"/>
      <c r="D251" s="70"/>
      <c r="E251" s="67"/>
      <c r="F251" s="70"/>
      <c r="G251" s="70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70"/>
      <c r="D252" s="70"/>
      <c r="E252" s="67"/>
      <c r="F252" s="70"/>
      <c r="G252" s="70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70"/>
      <c r="D253" s="70"/>
      <c r="E253" s="67"/>
      <c r="F253" s="70"/>
      <c r="G253" s="70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70"/>
      <c r="D254" s="70"/>
      <c r="E254" s="67"/>
      <c r="F254" s="70"/>
      <c r="G254" s="70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70"/>
      <c r="D255" s="70"/>
      <c r="E255" s="67"/>
      <c r="F255" s="70"/>
      <c r="G255" s="70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70"/>
      <c r="D256" s="70"/>
      <c r="E256" s="67"/>
      <c r="F256" s="70"/>
      <c r="G256" s="70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70"/>
      <c r="D257" s="70"/>
      <c r="E257" s="67"/>
      <c r="F257" s="70"/>
      <c r="G257" s="70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70"/>
      <c r="D258" s="70"/>
      <c r="E258" s="67"/>
      <c r="F258" s="70"/>
      <c r="G258" s="70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70"/>
      <c r="D259" s="70"/>
      <c r="E259" s="67"/>
      <c r="F259" s="70"/>
      <c r="G259" s="70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70"/>
      <c r="D260" s="70"/>
      <c r="E260" s="67"/>
      <c r="F260" s="70"/>
      <c r="G260" s="70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70"/>
      <c r="D261" s="70"/>
      <c r="E261" s="67"/>
      <c r="F261" s="70"/>
      <c r="G261" s="70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70"/>
      <c r="D262" s="70"/>
      <c r="E262" s="67"/>
      <c r="F262" s="70"/>
      <c r="G262" s="70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70"/>
      <c r="D263" s="70"/>
      <c r="E263" s="67"/>
      <c r="F263" s="70"/>
      <c r="G263" s="70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70"/>
      <c r="D264" s="70"/>
      <c r="E264" s="67"/>
      <c r="F264" s="70"/>
      <c r="G264" s="70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70"/>
      <c r="D265" s="70"/>
      <c r="E265" s="67"/>
      <c r="F265" s="70"/>
      <c r="G265" s="70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70"/>
      <c r="D266" s="70"/>
      <c r="E266" s="67"/>
      <c r="F266" s="70"/>
      <c r="G266" s="70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70"/>
      <c r="D267" s="70"/>
      <c r="E267" s="67"/>
      <c r="F267" s="70"/>
      <c r="G267" s="70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70"/>
      <c r="D268" s="70"/>
      <c r="E268" s="67"/>
      <c r="F268" s="70"/>
      <c r="G268" s="70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70"/>
      <c r="D269" s="70"/>
      <c r="E269" s="67"/>
      <c r="F269" s="70"/>
      <c r="G269" s="70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70"/>
      <c r="D270" s="70"/>
      <c r="E270" s="67"/>
      <c r="F270" s="70"/>
      <c r="G270" s="70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70"/>
      <c r="D271" s="70"/>
      <c r="E271" s="67"/>
      <c r="F271" s="70"/>
      <c r="G271" s="70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70"/>
      <c r="D272" s="70"/>
      <c r="E272" s="67"/>
      <c r="F272" s="70"/>
      <c r="G272" s="70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70"/>
      <c r="D273" s="70"/>
      <c r="E273" s="67"/>
      <c r="F273" s="70"/>
      <c r="G273" s="70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70"/>
      <c r="D274" s="70"/>
      <c r="E274" s="67"/>
      <c r="F274" s="70"/>
      <c r="G274" s="70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70"/>
      <c r="D275" s="70"/>
      <c r="E275" s="67"/>
      <c r="F275" s="70"/>
      <c r="G275" s="70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70"/>
      <c r="D276" s="70"/>
      <c r="E276" s="67"/>
      <c r="F276" s="70"/>
      <c r="G276" s="70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70"/>
      <c r="D277" s="70"/>
      <c r="E277" s="67"/>
      <c r="F277" s="70"/>
      <c r="G277" s="70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70"/>
      <c r="D278" s="70"/>
      <c r="E278" s="67"/>
      <c r="F278" s="70"/>
      <c r="G278" s="70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70"/>
      <c r="D279" s="70"/>
      <c r="E279" s="67"/>
      <c r="F279" s="70"/>
      <c r="G279" s="70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70"/>
      <c r="D280" s="70"/>
      <c r="E280" s="67"/>
      <c r="F280" s="70"/>
      <c r="G280" s="70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70"/>
      <c r="D281" s="70"/>
      <c r="E281" s="67"/>
      <c r="F281" s="70"/>
      <c r="G281" s="70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70"/>
      <c r="D282" s="70"/>
      <c r="E282" s="67"/>
      <c r="F282" s="70"/>
      <c r="G282" s="70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70"/>
      <c r="D283" s="70"/>
      <c r="E283" s="67"/>
      <c r="F283" s="70"/>
      <c r="G283" s="70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70"/>
      <c r="D284" s="70"/>
      <c r="E284" s="67"/>
      <c r="F284" s="70"/>
      <c r="G284" s="70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70"/>
      <c r="D285" s="70"/>
      <c r="E285" s="67"/>
      <c r="F285" s="70"/>
      <c r="G285" s="70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70"/>
      <c r="D286" s="70"/>
      <c r="E286" s="67"/>
      <c r="F286" s="70"/>
      <c r="G286" s="70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70"/>
      <c r="D287" s="70"/>
      <c r="E287" s="67"/>
      <c r="F287" s="70"/>
      <c r="G287" s="70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70"/>
      <c r="D288" s="70"/>
      <c r="E288" s="67"/>
      <c r="F288" s="70"/>
      <c r="G288" s="70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70"/>
      <c r="D289" s="70"/>
      <c r="E289" s="67"/>
      <c r="F289" s="70"/>
      <c r="G289" s="70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70"/>
      <c r="D290" s="70"/>
      <c r="E290" s="67"/>
      <c r="F290" s="70"/>
      <c r="G290" s="70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70"/>
      <c r="D291" s="70"/>
      <c r="E291" s="67"/>
      <c r="F291" s="70"/>
      <c r="G291" s="70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70"/>
      <c r="D292" s="70"/>
      <c r="E292" s="67"/>
      <c r="F292" s="70"/>
      <c r="G292" s="70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70"/>
      <c r="D293" s="70"/>
      <c r="E293" s="67"/>
      <c r="F293" s="70"/>
      <c r="G293" s="70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70"/>
      <c r="D294" s="70"/>
      <c r="E294" s="67"/>
      <c r="F294" s="70"/>
      <c r="G294" s="70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70"/>
      <c r="D295" s="70"/>
      <c r="E295" s="67"/>
      <c r="F295" s="70"/>
      <c r="G295" s="70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70"/>
      <c r="D296" s="70"/>
      <c r="E296" s="67"/>
      <c r="F296" s="70"/>
      <c r="G296" s="70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70"/>
      <c r="D297" s="70"/>
      <c r="E297" s="67"/>
      <c r="F297" s="70"/>
      <c r="G297" s="70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70"/>
      <c r="D298" s="70"/>
      <c r="E298" s="67"/>
      <c r="F298" s="70"/>
      <c r="G298" s="70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70"/>
      <c r="D299" s="70"/>
      <c r="E299" s="67"/>
      <c r="F299" s="70"/>
      <c r="G299" s="70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70"/>
      <c r="D300" s="70"/>
      <c r="E300" s="67"/>
      <c r="F300" s="70"/>
      <c r="G300" s="70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70"/>
      <c r="D301" s="70"/>
      <c r="E301" s="67"/>
      <c r="F301" s="70"/>
      <c r="G301" s="70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70"/>
      <c r="D302" s="70"/>
      <c r="E302" s="67"/>
      <c r="F302" s="70"/>
      <c r="G302" s="70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70"/>
      <c r="D303" s="70"/>
      <c r="E303" s="67"/>
      <c r="F303" s="70"/>
      <c r="G303" s="70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70"/>
      <c r="D304" s="70"/>
      <c r="E304" s="67"/>
      <c r="F304" s="70"/>
      <c r="G304" s="70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70"/>
      <c r="D305" s="70"/>
      <c r="E305" s="67"/>
      <c r="F305" s="70"/>
      <c r="G305" s="70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70"/>
      <c r="D306" s="70"/>
      <c r="E306" s="67"/>
      <c r="F306" s="70"/>
      <c r="G306" s="70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70"/>
      <c r="D307" s="70"/>
      <c r="E307" s="67"/>
      <c r="F307" s="70"/>
      <c r="G307" s="70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70"/>
      <c r="D308" s="70"/>
      <c r="E308" s="67"/>
      <c r="F308" s="70"/>
      <c r="G308" s="70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70"/>
      <c r="D309" s="70"/>
      <c r="E309" s="67"/>
      <c r="F309" s="70"/>
      <c r="G309" s="70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70"/>
      <c r="D310" s="70"/>
      <c r="E310" s="67"/>
      <c r="F310" s="70"/>
      <c r="G310" s="70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70"/>
      <c r="D311" s="70"/>
      <c r="E311" s="67"/>
      <c r="F311" s="70"/>
      <c r="G311" s="70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70"/>
      <c r="D312" s="70"/>
      <c r="E312" s="67"/>
      <c r="F312" s="70"/>
      <c r="G312" s="70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70"/>
      <c r="D313" s="70"/>
      <c r="E313" s="67"/>
      <c r="F313" s="70"/>
      <c r="G313" s="70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70"/>
      <c r="D314" s="70"/>
      <c r="E314" s="67"/>
      <c r="F314" s="70"/>
      <c r="G314" s="70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70"/>
      <c r="D315" s="70"/>
      <c r="E315" s="67"/>
      <c r="F315" s="70"/>
      <c r="G315" s="70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70"/>
      <c r="D316" s="70"/>
      <c r="E316" s="67"/>
      <c r="F316" s="70"/>
      <c r="G316" s="70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70"/>
      <c r="D317" s="70"/>
      <c r="E317" s="67"/>
      <c r="F317" s="70"/>
      <c r="G317" s="70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70"/>
      <c r="D318" s="70"/>
      <c r="E318" s="67"/>
      <c r="F318" s="70"/>
      <c r="G318" s="70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70"/>
      <c r="D319" s="70"/>
      <c r="E319" s="67"/>
      <c r="F319" s="70"/>
      <c r="G319" s="70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70"/>
      <c r="D320" s="70"/>
      <c r="E320" s="67"/>
      <c r="F320" s="70"/>
      <c r="G320" s="70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70"/>
      <c r="D321" s="70"/>
      <c r="E321" s="67"/>
      <c r="F321" s="70"/>
      <c r="G321" s="70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70"/>
      <c r="D322" s="70"/>
      <c r="E322" s="67"/>
      <c r="F322" s="70"/>
      <c r="G322" s="70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70"/>
      <c r="D323" s="70"/>
      <c r="E323" s="67"/>
      <c r="F323" s="70"/>
      <c r="G323" s="70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70"/>
      <c r="D324" s="70"/>
      <c r="E324" s="67"/>
      <c r="F324" s="70"/>
      <c r="G324" s="70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70"/>
      <c r="D325" s="70"/>
      <c r="E325" s="67"/>
      <c r="F325" s="70"/>
      <c r="G325" s="70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70"/>
      <c r="D326" s="70"/>
      <c r="E326" s="67"/>
      <c r="F326" s="70"/>
      <c r="G326" s="70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70"/>
      <c r="D327" s="70"/>
      <c r="E327" s="67"/>
      <c r="F327" s="70"/>
      <c r="G327" s="70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70"/>
      <c r="D328" s="70"/>
      <c r="E328" s="67"/>
      <c r="F328" s="70"/>
      <c r="G328" s="70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70"/>
      <c r="D329" s="70"/>
      <c r="E329" s="67"/>
      <c r="F329" s="70"/>
      <c r="G329" s="70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70"/>
      <c r="D330" s="70"/>
      <c r="E330" s="67"/>
      <c r="F330" s="70"/>
      <c r="G330" s="70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70"/>
      <c r="D331" s="70"/>
      <c r="E331" s="67"/>
      <c r="F331" s="70"/>
      <c r="G331" s="70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70"/>
      <c r="D332" s="70"/>
      <c r="E332" s="67"/>
      <c r="F332" s="70"/>
      <c r="G332" s="70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70"/>
      <c r="D333" s="70"/>
      <c r="E333" s="67"/>
      <c r="F333" s="70"/>
      <c r="G333" s="70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70"/>
      <c r="D334" s="70"/>
      <c r="E334" s="67"/>
      <c r="F334" s="70"/>
      <c r="G334" s="70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70"/>
      <c r="D335" s="70"/>
      <c r="E335" s="67"/>
      <c r="F335" s="70"/>
      <c r="G335" s="70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70"/>
      <c r="D336" s="70"/>
      <c r="E336" s="67"/>
      <c r="F336" s="70"/>
      <c r="G336" s="70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70"/>
      <c r="D337" s="70"/>
      <c r="E337" s="67"/>
      <c r="F337" s="70"/>
      <c r="G337" s="70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70"/>
      <c r="D338" s="70"/>
      <c r="E338" s="67"/>
      <c r="F338" s="70"/>
      <c r="G338" s="70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70"/>
      <c r="D339" s="70"/>
      <c r="E339" s="67"/>
      <c r="F339" s="70"/>
      <c r="G339" s="70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70"/>
      <c r="D340" s="70"/>
      <c r="E340" s="67"/>
      <c r="F340" s="70"/>
      <c r="G340" s="70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70"/>
      <c r="D341" s="70"/>
      <c r="E341" s="67"/>
      <c r="F341" s="70"/>
      <c r="G341" s="70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70"/>
      <c r="D342" s="70"/>
      <c r="E342" s="67"/>
      <c r="F342" s="70"/>
      <c r="G342" s="70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70"/>
      <c r="D343" s="70"/>
      <c r="E343" s="67"/>
      <c r="F343" s="70"/>
      <c r="G343" s="70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70"/>
      <c r="D344" s="70"/>
      <c r="E344" s="67"/>
      <c r="F344" s="70"/>
      <c r="G344" s="70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70"/>
      <c r="D345" s="70"/>
      <c r="E345" s="67"/>
      <c r="F345" s="70"/>
      <c r="G345" s="70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70"/>
      <c r="D346" s="70"/>
      <c r="E346" s="67"/>
      <c r="F346" s="70"/>
      <c r="G346" s="70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70"/>
      <c r="D347" s="70"/>
      <c r="E347" s="67"/>
      <c r="F347" s="70"/>
      <c r="G347" s="70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70"/>
      <c r="D348" s="70"/>
      <c r="E348" s="67"/>
      <c r="F348" s="70"/>
      <c r="G348" s="70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70"/>
      <c r="D349" s="70"/>
      <c r="E349" s="67"/>
      <c r="F349" s="70"/>
      <c r="G349" s="70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70"/>
      <c r="D350" s="70"/>
      <c r="E350" s="67"/>
      <c r="F350" s="70"/>
      <c r="G350" s="70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70"/>
      <c r="D351" s="70"/>
      <c r="E351" s="67"/>
      <c r="F351" s="70"/>
      <c r="G351" s="70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70"/>
      <c r="D352" s="70"/>
      <c r="E352" s="67"/>
      <c r="F352" s="70"/>
      <c r="G352" s="70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70"/>
      <c r="D353" s="70"/>
      <c r="E353" s="67"/>
      <c r="F353" s="70"/>
      <c r="G353" s="70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70"/>
      <c r="D354" s="70"/>
      <c r="E354" s="67"/>
      <c r="F354" s="70"/>
      <c r="G354" s="70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70"/>
      <c r="D355" s="70"/>
      <c r="E355" s="67"/>
      <c r="F355" s="70"/>
      <c r="G355" s="70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70"/>
      <c r="D356" s="70"/>
      <c r="E356" s="67"/>
      <c r="F356" s="70"/>
      <c r="G356" s="70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70"/>
      <c r="D357" s="70"/>
      <c r="E357" s="67"/>
      <c r="F357" s="70"/>
      <c r="G357" s="70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70"/>
      <c r="D358" s="70"/>
      <c r="E358" s="67"/>
      <c r="F358" s="70"/>
      <c r="G358" s="70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70"/>
      <c r="D359" s="70"/>
      <c r="E359" s="67"/>
      <c r="F359" s="70"/>
      <c r="G359" s="70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70"/>
      <c r="D360" s="70"/>
      <c r="E360" s="67"/>
      <c r="F360" s="70"/>
      <c r="G360" s="70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70"/>
      <c r="D361" s="70"/>
      <c r="E361" s="67"/>
      <c r="F361" s="70"/>
      <c r="G361" s="70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70"/>
      <c r="D362" s="70"/>
      <c r="E362" s="67"/>
      <c r="F362" s="70"/>
      <c r="G362" s="70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70"/>
      <c r="D363" s="70"/>
      <c r="E363" s="67"/>
      <c r="F363" s="70"/>
      <c r="G363" s="70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70"/>
      <c r="D364" s="70"/>
      <c r="E364" s="67"/>
      <c r="F364" s="70"/>
      <c r="G364" s="70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70"/>
      <c r="D365" s="70"/>
      <c r="E365" s="67"/>
      <c r="F365" s="70"/>
      <c r="G365" s="70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70"/>
      <c r="D366" s="70"/>
      <c r="E366" s="67"/>
      <c r="F366" s="70"/>
      <c r="G366" s="70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70"/>
      <c r="D367" s="70"/>
      <c r="E367" s="67"/>
      <c r="F367" s="70"/>
      <c r="G367" s="70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70"/>
      <c r="D368" s="70"/>
      <c r="E368" s="67"/>
      <c r="F368" s="70"/>
      <c r="G368" s="70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70"/>
      <c r="D369" s="70"/>
      <c r="E369" s="67"/>
      <c r="F369" s="70"/>
      <c r="G369" s="70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70"/>
      <c r="D370" s="70"/>
      <c r="E370" s="67"/>
      <c r="F370" s="70"/>
      <c r="G370" s="70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70"/>
      <c r="D371" s="70"/>
      <c r="E371" s="67"/>
      <c r="F371" s="70"/>
      <c r="G371" s="70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70"/>
      <c r="D372" s="70"/>
      <c r="E372" s="67"/>
      <c r="F372" s="70"/>
      <c r="G372" s="70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70"/>
      <c r="D373" s="70"/>
      <c r="E373" s="67"/>
      <c r="F373" s="70"/>
      <c r="G373" s="70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70"/>
      <c r="D374" s="70"/>
      <c r="E374" s="67"/>
      <c r="F374" s="70"/>
      <c r="G374" s="70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70"/>
      <c r="D375" s="70"/>
      <c r="E375" s="67"/>
      <c r="F375" s="70"/>
      <c r="G375" s="70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70"/>
      <c r="D376" s="70"/>
      <c r="E376" s="67"/>
      <c r="F376" s="70"/>
      <c r="G376" s="70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70"/>
      <c r="D377" s="70"/>
      <c r="E377" s="67"/>
      <c r="F377" s="70"/>
      <c r="G377" s="70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70"/>
      <c r="D378" s="70"/>
      <c r="E378" s="67"/>
      <c r="F378" s="70"/>
      <c r="G378" s="70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70"/>
      <c r="D379" s="70"/>
      <c r="E379" s="67"/>
      <c r="F379" s="70"/>
      <c r="G379" s="70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70"/>
      <c r="D380" s="70"/>
      <c r="E380" s="67"/>
      <c r="F380" s="70"/>
      <c r="G380" s="70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70"/>
      <c r="D381" s="70"/>
      <c r="E381" s="67"/>
      <c r="F381" s="70"/>
      <c r="G381" s="70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70"/>
      <c r="D382" s="70"/>
      <c r="E382" s="67"/>
      <c r="F382" s="70"/>
      <c r="G382" s="70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70"/>
      <c r="D383" s="70"/>
      <c r="E383" s="67"/>
      <c r="F383" s="70"/>
      <c r="G383" s="70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70"/>
      <c r="D384" s="70"/>
      <c r="E384" s="67"/>
      <c r="F384" s="70"/>
      <c r="G384" s="70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70"/>
      <c r="D385" s="70"/>
      <c r="E385" s="67"/>
      <c r="F385" s="70"/>
      <c r="G385" s="70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70"/>
      <c r="D386" s="70"/>
      <c r="E386" s="67"/>
      <c r="F386" s="70"/>
      <c r="G386" s="70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70"/>
      <c r="D387" s="70"/>
      <c r="E387" s="67"/>
      <c r="F387" s="70"/>
      <c r="G387" s="70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70"/>
      <c r="D388" s="70"/>
      <c r="E388" s="67"/>
      <c r="F388" s="70"/>
      <c r="G388" s="70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70"/>
      <c r="D389" s="70"/>
      <c r="E389" s="67"/>
      <c r="F389" s="70"/>
      <c r="G389" s="70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70"/>
      <c r="D390" s="70"/>
      <c r="E390" s="67"/>
      <c r="F390" s="70"/>
      <c r="G390" s="70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70"/>
      <c r="D391" s="70"/>
      <c r="E391" s="67"/>
      <c r="F391" s="70"/>
      <c r="G391" s="70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70"/>
      <c r="D392" s="70"/>
      <c r="E392" s="67"/>
      <c r="F392" s="70"/>
      <c r="G392" s="70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70"/>
      <c r="D393" s="70"/>
      <c r="E393" s="67"/>
      <c r="F393" s="70"/>
      <c r="G393" s="70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70"/>
      <c r="D394" s="70"/>
      <c r="E394" s="67"/>
      <c r="F394" s="70"/>
      <c r="G394" s="70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70"/>
      <c r="D395" s="70"/>
      <c r="E395" s="67"/>
      <c r="F395" s="70"/>
      <c r="G395" s="70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70"/>
      <c r="D396" s="70"/>
      <c r="E396" s="67"/>
      <c r="F396" s="70"/>
      <c r="G396" s="70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70"/>
      <c r="D397" s="70"/>
      <c r="E397" s="67"/>
      <c r="F397" s="70"/>
      <c r="G397" s="70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70"/>
      <c r="D398" s="70"/>
      <c r="E398" s="67"/>
      <c r="F398" s="70"/>
      <c r="G398" s="70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70"/>
      <c r="D399" s="70"/>
      <c r="E399" s="67"/>
      <c r="F399" s="70"/>
      <c r="G399" s="70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70"/>
      <c r="D400" s="70"/>
      <c r="E400" s="67"/>
      <c r="F400" s="70"/>
      <c r="G400" s="70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70"/>
      <c r="D401" s="70"/>
      <c r="E401" s="67"/>
      <c r="F401" s="70"/>
      <c r="G401" s="70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70"/>
      <c r="D402" s="70"/>
      <c r="E402" s="67"/>
      <c r="F402" s="70"/>
      <c r="G402" s="70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70"/>
      <c r="D403" s="70"/>
      <c r="E403" s="67"/>
      <c r="F403" s="70"/>
      <c r="G403" s="70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70"/>
      <c r="D404" s="70"/>
      <c r="E404" s="67"/>
      <c r="F404" s="70"/>
      <c r="G404" s="70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70"/>
      <c r="D405" s="70"/>
      <c r="E405" s="67"/>
      <c r="F405" s="70"/>
      <c r="G405" s="70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70"/>
      <c r="D406" s="70"/>
      <c r="E406" s="67"/>
      <c r="F406" s="70"/>
      <c r="G406" s="70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70"/>
      <c r="D407" s="70"/>
      <c r="E407" s="67"/>
      <c r="F407" s="70"/>
      <c r="G407" s="70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70"/>
      <c r="D408" s="70"/>
      <c r="E408" s="67"/>
      <c r="F408" s="70"/>
      <c r="G408" s="70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70"/>
      <c r="D409" s="70"/>
      <c r="E409" s="67"/>
      <c r="F409" s="70"/>
      <c r="G409" s="70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70"/>
      <c r="D410" s="70"/>
      <c r="E410" s="67"/>
      <c r="F410" s="70"/>
      <c r="G410" s="70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70"/>
      <c r="D411" s="70"/>
      <c r="E411" s="67"/>
      <c r="F411" s="70"/>
      <c r="G411" s="70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70"/>
      <c r="D412" s="70"/>
      <c r="E412" s="67"/>
      <c r="F412" s="70"/>
      <c r="G412" s="70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70"/>
      <c r="D413" s="70"/>
      <c r="E413" s="67"/>
      <c r="F413" s="70"/>
      <c r="G413" s="70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70"/>
      <c r="D414" s="70"/>
      <c r="E414" s="67"/>
      <c r="F414" s="70"/>
      <c r="G414" s="70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70"/>
      <c r="D415" s="70"/>
      <c r="E415" s="67"/>
      <c r="F415" s="70"/>
      <c r="G415" s="70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70"/>
      <c r="D416" s="70"/>
      <c r="E416" s="67"/>
      <c r="F416" s="70"/>
      <c r="G416" s="70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70"/>
      <c r="D417" s="70"/>
      <c r="E417" s="67"/>
      <c r="F417" s="70"/>
      <c r="G417" s="70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70"/>
      <c r="D418" s="70"/>
      <c r="E418" s="67"/>
      <c r="F418" s="70"/>
      <c r="G418" s="70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70"/>
      <c r="D419" s="70"/>
      <c r="E419" s="67"/>
      <c r="F419" s="70"/>
      <c r="G419" s="70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70"/>
      <c r="D420" s="70"/>
      <c r="E420" s="67"/>
      <c r="F420" s="70"/>
      <c r="G420" s="70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70"/>
      <c r="D421" s="70"/>
      <c r="E421" s="67"/>
      <c r="F421" s="70"/>
      <c r="G421" s="70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70"/>
      <c r="D422" s="70"/>
      <c r="E422" s="67"/>
      <c r="F422" s="70"/>
      <c r="G422" s="70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70"/>
      <c r="D423" s="70"/>
      <c r="E423" s="67"/>
      <c r="F423" s="70"/>
      <c r="G423" s="70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70"/>
      <c r="D424" s="70"/>
      <c r="E424" s="67"/>
      <c r="F424" s="70"/>
      <c r="G424" s="70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70"/>
      <c r="D425" s="70"/>
      <c r="E425" s="67"/>
      <c r="F425" s="70"/>
      <c r="G425" s="70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70"/>
      <c r="D426" s="70"/>
      <c r="E426" s="67"/>
      <c r="F426" s="70"/>
      <c r="G426" s="70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70"/>
      <c r="D427" s="70"/>
      <c r="E427" s="67"/>
      <c r="F427" s="70"/>
      <c r="G427" s="70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70"/>
      <c r="D428" s="70"/>
      <c r="E428" s="67"/>
      <c r="F428" s="70"/>
      <c r="G428" s="70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70"/>
      <c r="D429" s="70"/>
      <c r="E429" s="67"/>
      <c r="F429" s="70"/>
      <c r="G429" s="70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70"/>
      <c r="D430" s="70"/>
      <c r="E430" s="67"/>
      <c r="F430" s="70"/>
      <c r="G430" s="70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70"/>
      <c r="D431" s="70"/>
      <c r="E431" s="67"/>
      <c r="F431" s="70"/>
      <c r="G431" s="70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70"/>
      <c r="D432" s="70"/>
      <c r="E432" s="67"/>
      <c r="F432" s="70"/>
      <c r="G432" s="70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70"/>
      <c r="D433" s="70"/>
      <c r="E433" s="67"/>
      <c r="F433" s="70"/>
      <c r="G433" s="70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70"/>
      <c r="D434" s="70"/>
      <c r="E434" s="67"/>
      <c r="F434" s="70"/>
      <c r="G434" s="70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70"/>
      <c r="D435" s="70"/>
      <c r="E435" s="67"/>
      <c r="F435" s="70"/>
      <c r="G435" s="70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70"/>
      <c r="D436" s="70"/>
      <c r="E436" s="67"/>
      <c r="F436" s="70"/>
      <c r="G436" s="70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70"/>
      <c r="D437" s="70"/>
      <c r="E437" s="67"/>
      <c r="F437" s="70"/>
      <c r="G437" s="70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70"/>
      <c r="D438" s="70"/>
      <c r="E438" s="67"/>
      <c r="F438" s="70"/>
      <c r="G438" s="70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70"/>
      <c r="D439" s="70"/>
      <c r="E439" s="67"/>
      <c r="F439" s="70"/>
      <c r="G439" s="70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70"/>
      <c r="D440" s="70"/>
      <c r="E440" s="67"/>
      <c r="F440" s="70"/>
      <c r="G440" s="70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70"/>
      <c r="D441" s="70"/>
      <c r="E441" s="67"/>
      <c r="F441" s="70"/>
      <c r="G441" s="70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70"/>
      <c r="D442" s="70"/>
      <c r="E442" s="67"/>
      <c r="F442" s="70"/>
      <c r="G442" s="70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70"/>
      <c r="D443" s="70"/>
      <c r="E443" s="67"/>
      <c r="F443" s="70"/>
      <c r="G443" s="70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70"/>
      <c r="D444" s="70"/>
      <c r="E444" s="67"/>
      <c r="F444" s="70"/>
      <c r="G444" s="70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70"/>
      <c r="D445" s="70"/>
      <c r="E445" s="67"/>
      <c r="F445" s="70"/>
      <c r="G445" s="70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70"/>
      <c r="D446" s="70"/>
      <c r="E446" s="67"/>
      <c r="F446" s="70"/>
      <c r="G446" s="70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70"/>
      <c r="D447" s="70"/>
      <c r="E447" s="67"/>
      <c r="F447" s="70"/>
      <c r="G447" s="70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70"/>
      <c r="D448" s="70"/>
      <c r="E448" s="67"/>
      <c r="F448" s="70"/>
      <c r="G448" s="70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70"/>
      <c r="D449" s="70"/>
      <c r="E449" s="67"/>
      <c r="F449" s="70"/>
      <c r="G449" s="70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70"/>
      <c r="D450" s="70"/>
      <c r="E450" s="67"/>
      <c r="F450" s="70"/>
      <c r="G450" s="70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70"/>
      <c r="D451" s="70"/>
      <c r="E451" s="67"/>
      <c r="F451" s="70"/>
      <c r="G451" s="70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70"/>
      <c r="D452" s="70"/>
      <c r="E452" s="67"/>
      <c r="F452" s="70"/>
      <c r="G452" s="70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70"/>
      <c r="D453" s="70"/>
      <c r="E453" s="67"/>
      <c r="F453" s="70"/>
      <c r="G453" s="70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70"/>
      <c r="D454" s="70"/>
      <c r="E454" s="67"/>
      <c r="F454" s="70"/>
      <c r="G454" s="70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70"/>
      <c r="D455" s="70"/>
      <c r="E455" s="67"/>
      <c r="F455" s="70"/>
      <c r="G455" s="70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70"/>
      <c r="D456" s="70"/>
      <c r="E456" s="67"/>
      <c r="F456" s="70"/>
      <c r="G456" s="70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70"/>
      <c r="D457" s="70"/>
      <c r="E457" s="67"/>
      <c r="F457" s="70"/>
      <c r="G457" s="70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70"/>
      <c r="D458" s="70"/>
      <c r="E458" s="67"/>
      <c r="F458" s="70"/>
      <c r="G458" s="70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70"/>
      <c r="D459" s="70"/>
      <c r="E459" s="67"/>
      <c r="F459" s="70"/>
      <c r="G459" s="70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70"/>
      <c r="D460" s="70"/>
      <c r="E460" s="67"/>
      <c r="F460" s="70"/>
      <c r="G460" s="70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70"/>
      <c r="D461" s="70"/>
      <c r="E461" s="67"/>
      <c r="F461" s="70"/>
      <c r="G461" s="70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70"/>
      <c r="D462" s="70"/>
      <c r="E462" s="67"/>
      <c r="F462" s="70"/>
      <c r="G462" s="70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70"/>
      <c r="D463" s="70"/>
      <c r="E463" s="67"/>
      <c r="F463" s="70"/>
      <c r="G463" s="70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70"/>
      <c r="D464" s="70"/>
      <c r="E464" s="67"/>
      <c r="F464" s="70"/>
      <c r="G464" s="70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70"/>
      <c r="D465" s="70"/>
      <c r="E465" s="67"/>
      <c r="F465" s="70"/>
      <c r="G465" s="70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70"/>
      <c r="D466" s="70"/>
      <c r="E466" s="67"/>
      <c r="F466" s="70"/>
      <c r="G466" s="70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70"/>
      <c r="D467" s="70"/>
      <c r="E467" s="67"/>
      <c r="F467" s="70"/>
      <c r="G467" s="70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70"/>
      <c r="D468" s="70"/>
      <c r="E468" s="67"/>
      <c r="F468" s="70"/>
      <c r="G468" s="70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70"/>
      <c r="D469" s="70"/>
      <c r="E469" s="67"/>
      <c r="F469" s="70"/>
      <c r="G469" s="70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70"/>
      <c r="D470" s="70"/>
      <c r="E470" s="67"/>
      <c r="F470" s="70"/>
      <c r="G470" s="70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70"/>
      <c r="D471" s="70"/>
      <c r="E471" s="67"/>
      <c r="F471" s="70"/>
      <c r="G471" s="70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70"/>
      <c r="D472" s="70"/>
      <c r="E472" s="67"/>
      <c r="F472" s="70"/>
      <c r="G472" s="70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70"/>
      <c r="D473" s="70"/>
      <c r="E473" s="67"/>
      <c r="F473" s="70"/>
      <c r="G473" s="70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70"/>
      <c r="D474" s="70"/>
      <c r="E474" s="67"/>
      <c r="F474" s="70"/>
      <c r="G474" s="70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70"/>
      <c r="D475" s="70"/>
      <c r="E475" s="67"/>
      <c r="F475" s="70"/>
      <c r="G475" s="70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70"/>
      <c r="D476" s="70"/>
      <c r="E476" s="67"/>
      <c r="F476" s="70"/>
      <c r="G476" s="70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70"/>
      <c r="D477" s="70"/>
      <c r="E477" s="67"/>
      <c r="F477" s="70"/>
      <c r="G477" s="70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70"/>
      <c r="D478" s="70"/>
      <c r="E478" s="67"/>
      <c r="F478" s="70"/>
      <c r="G478" s="70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70"/>
      <c r="D479" s="70"/>
      <c r="E479" s="67"/>
      <c r="F479" s="70"/>
      <c r="G479" s="70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70"/>
      <c r="D480" s="70"/>
      <c r="E480" s="67"/>
      <c r="F480" s="70"/>
      <c r="G480" s="70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70"/>
      <c r="D481" s="70"/>
      <c r="E481" s="67"/>
      <c r="F481" s="70"/>
      <c r="G481" s="70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70"/>
      <c r="D482" s="70"/>
      <c r="E482" s="67"/>
      <c r="F482" s="70"/>
      <c r="G482" s="70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70"/>
      <c r="D483" s="70"/>
      <c r="E483" s="67"/>
      <c r="F483" s="70"/>
      <c r="G483" s="70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70"/>
      <c r="D484" s="70"/>
      <c r="E484" s="67"/>
      <c r="F484" s="70"/>
      <c r="G484" s="70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70"/>
      <c r="D485" s="70"/>
      <c r="E485" s="67"/>
      <c r="F485" s="70"/>
      <c r="G485" s="70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70"/>
      <c r="D486" s="70"/>
      <c r="E486" s="67"/>
      <c r="F486" s="70"/>
      <c r="G486" s="70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70"/>
      <c r="D487" s="70"/>
      <c r="E487" s="67"/>
      <c r="F487" s="70"/>
      <c r="G487" s="70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70"/>
      <c r="D488" s="70"/>
      <c r="E488" s="67"/>
      <c r="F488" s="70"/>
      <c r="G488" s="70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70"/>
      <c r="D489" s="70"/>
      <c r="E489" s="67"/>
      <c r="F489" s="70"/>
      <c r="G489" s="70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70"/>
      <c r="D490" s="70"/>
      <c r="E490" s="67"/>
      <c r="F490" s="70"/>
      <c r="G490" s="70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70"/>
      <c r="D491" s="70"/>
      <c r="E491" s="67"/>
      <c r="F491" s="70"/>
      <c r="G491" s="70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70"/>
      <c r="D492" s="70"/>
      <c r="E492" s="67"/>
      <c r="F492" s="70"/>
      <c r="G492" s="70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70"/>
      <c r="D493" s="70"/>
      <c r="E493" s="67"/>
      <c r="F493" s="70"/>
      <c r="G493" s="70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70"/>
      <c r="D494" s="70"/>
      <c r="E494" s="67"/>
      <c r="F494" s="70"/>
      <c r="G494" s="70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70"/>
      <c r="D495" s="70"/>
      <c r="E495" s="67"/>
      <c r="F495" s="70"/>
      <c r="G495" s="70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70"/>
      <c r="D496" s="70"/>
      <c r="E496" s="67"/>
      <c r="F496" s="70"/>
      <c r="G496" s="70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70"/>
      <c r="D497" s="70"/>
      <c r="E497" s="67"/>
      <c r="F497" s="70"/>
      <c r="G497" s="70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70"/>
      <c r="D498" s="70"/>
      <c r="E498" s="67"/>
      <c r="F498" s="70"/>
      <c r="G498" s="70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70"/>
      <c r="D499" s="70"/>
      <c r="E499" s="67"/>
      <c r="F499" s="70"/>
      <c r="G499" s="70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70"/>
      <c r="D500" s="70"/>
      <c r="E500" s="67"/>
      <c r="F500" s="70"/>
      <c r="G500" s="70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70"/>
      <c r="D501" s="70"/>
      <c r="E501" s="67"/>
      <c r="F501" s="70"/>
      <c r="G501" s="70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70"/>
      <c r="D502" s="70"/>
      <c r="E502" s="67"/>
      <c r="F502" s="70"/>
      <c r="G502" s="70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70"/>
      <c r="D503" s="70"/>
      <c r="E503" s="67"/>
      <c r="F503" s="70"/>
      <c r="G503" s="70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70"/>
      <c r="D504" s="70"/>
      <c r="E504" s="67"/>
      <c r="F504" s="70"/>
      <c r="G504" s="70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70"/>
      <c r="D505" s="70"/>
      <c r="E505" s="67"/>
      <c r="F505" s="70"/>
      <c r="G505" s="70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70"/>
      <c r="D506" s="70"/>
      <c r="E506" s="67"/>
      <c r="F506" s="70"/>
      <c r="G506" s="70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70"/>
      <c r="D507" s="70"/>
      <c r="E507" s="67"/>
      <c r="F507" s="70"/>
      <c r="G507" s="70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70"/>
      <c r="D508" s="70"/>
      <c r="E508" s="67"/>
      <c r="F508" s="70"/>
      <c r="G508" s="70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70"/>
      <c r="D509" s="70"/>
      <c r="E509" s="67"/>
      <c r="F509" s="70"/>
      <c r="G509" s="70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70"/>
      <c r="D510" s="70"/>
      <c r="E510" s="67"/>
      <c r="F510" s="70"/>
      <c r="G510" s="70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70"/>
      <c r="D511" s="70"/>
      <c r="E511" s="67"/>
      <c r="F511" s="70"/>
      <c r="G511" s="70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70"/>
      <c r="D512" s="70"/>
      <c r="E512" s="67"/>
      <c r="F512" s="70"/>
      <c r="G512" s="70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70"/>
      <c r="D513" s="70"/>
      <c r="E513" s="67"/>
      <c r="F513" s="70"/>
      <c r="G513" s="70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70"/>
      <c r="D514" s="70"/>
      <c r="E514" s="67"/>
      <c r="F514" s="70"/>
      <c r="G514" s="70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70"/>
      <c r="D515" s="70"/>
      <c r="E515" s="67"/>
      <c r="F515" s="70"/>
      <c r="G515" s="70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70"/>
      <c r="D516" s="70"/>
      <c r="E516" s="67"/>
      <c r="F516" s="70"/>
      <c r="G516" s="70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70"/>
      <c r="D517" s="70"/>
      <c r="E517" s="67"/>
      <c r="F517" s="70"/>
      <c r="G517" s="70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70"/>
      <c r="D518" s="70"/>
      <c r="E518" s="67"/>
      <c r="F518" s="70"/>
      <c r="G518" s="70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70"/>
      <c r="D519" s="70"/>
      <c r="E519" s="67"/>
      <c r="F519" s="70"/>
      <c r="G519" s="70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70"/>
      <c r="D520" s="70"/>
      <c r="E520" s="67"/>
      <c r="F520" s="70"/>
      <c r="G520" s="70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70"/>
      <c r="D521" s="70"/>
      <c r="E521" s="67"/>
      <c r="F521" s="70"/>
      <c r="G521" s="70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70"/>
      <c r="D522" s="70"/>
      <c r="E522" s="67"/>
      <c r="F522" s="70"/>
      <c r="G522" s="70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70"/>
      <c r="D523" s="70"/>
      <c r="E523" s="67"/>
      <c r="F523" s="70"/>
      <c r="G523" s="70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70"/>
      <c r="D524" s="70"/>
      <c r="E524" s="67"/>
      <c r="F524" s="70"/>
      <c r="G524" s="70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70"/>
      <c r="D525" s="70"/>
      <c r="E525" s="67"/>
      <c r="F525" s="70"/>
      <c r="G525" s="70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70"/>
      <c r="D526" s="70"/>
      <c r="E526" s="67"/>
      <c r="F526" s="70"/>
      <c r="G526" s="70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70"/>
      <c r="D527" s="70"/>
      <c r="E527" s="67"/>
      <c r="F527" s="70"/>
      <c r="G527" s="70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70"/>
      <c r="D528" s="70"/>
      <c r="E528" s="67"/>
      <c r="F528" s="70"/>
      <c r="G528" s="70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70"/>
      <c r="D529" s="70"/>
      <c r="E529" s="67"/>
      <c r="F529" s="70"/>
      <c r="G529" s="70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70"/>
      <c r="D530" s="70"/>
      <c r="E530" s="67"/>
      <c r="F530" s="70"/>
      <c r="G530" s="70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70"/>
      <c r="D531" s="70"/>
      <c r="E531" s="67"/>
      <c r="F531" s="70"/>
      <c r="G531" s="70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70"/>
      <c r="D532" s="70"/>
      <c r="E532" s="67"/>
      <c r="F532" s="70"/>
      <c r="G532" s="70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70"/>
      <c r="D533" s="70"/>
      <c r="E533" s="67"/>
      <c r="F533" s="70"/>
      <c r="G533" s="70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70"/>
      <c r="D534" s="70"/>
      <c r="E534" s="67"/>
      <c r="F534" s="70"/>
      <c r="G534" s="70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70"/>
      <c r="D535" s="70"/>
      <c r="E535" s="67"/>
      <c r="F535" s="70"/>
      <c r="G535" s="70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70"/>
      <c r="D536" s="70"/>
      <c r="E536" s="67"/>
      <c r="F536" s="70"/>
      <c r="G536" s="70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70"/>
      <c r="D537" s="70"/>
      <c r="E537" s="67"/>
      <c r="F537" s="70"/>
      <c r="G537" s="70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70"/>
      <c r="D538" s="70"/>
      <c r="E538" s="67"/>
      <c r="F538" s="70"/>
      <c r="G538" s="70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70"/>
      <c r="D539" s="70"/>
      <c r="E539" s="67"/>
      <c r="F539" s="70"/>
      <c r="G539" s="70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70"/>
      <c r="D540" s="70"/>
      <c r="E540" s="67"/>
      <c r="F540" s="70"/>
      <c r="G540" s="70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70"/>
      <c r="D541" s="70"/>
      <c r="E541" s="67"/>
      <c r="F541" s="70"/>
      <c r="G541" s="70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70"/>
      <c r="D542" s="70"/>
      <c r="E542" s="67"/>
      <c r="F542" s="70"/>
      <c r="G542" s="70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70"/>
      <c r="D543" s="70"/>
      <c r="E543" s="67"/>
      <c r="F543" s="70"/>
      <c r="G543" s="70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70"/>
      <c r="D544" s="70"/>
      <c r="E544" s="67"/>
      <c r="F544" s="70"/>
      <c r="G544" s="70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70"/>
      <c r="D545" s="70"/>
      <c r="E545" s="67"/>
      <c r="F545" s="70"/>
      <c r="G545" s="70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70"/>
      <c r="D546" s="70"/>
      <c r="E546" s="67"/>
      <c r="F546" s="70"/>
      <c r="G546" s="70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70"/>
      <c r="D547" s="70"/>
      <c r="E547" s="67"/>
      <c r="F547" s="70"/>
      <c r="G547" s="70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70"/>
      <c r="D548" s="70"/>
      <c r="E548" s="67"/>
      <c r="F548" s="70"/>
      <c r="G548" s="70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70"/>
      <c r="D549" s="70"/>
      <c r="E549" s="67"/>
      <c r="F549" s="70"/>
      <c r="G549" s="70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70"/>
      <c r="D550" s="70"/>
      <c r="E550" s="67"/>
      <c r="F550" s="70"/>
      <c r="G550" s="70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70"/>
      <c r="D551" s="70"/>
      <c r="E551" s="67"/>
      <c r="F551" s="70"/>
      <c r="G551" s="70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70"/>
      <c r="D552" s="70"/>
      <c r="E552" s="67"/>
      <c r="F552" s="70"/>
      <c r="G552" s="70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70"/>
      <c r="D553" s="70"/>
      <c r="E553" s="67"/>
      <c r="F553" s="70"/>
      <c r="G553" s="70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70"/>
      <c r="D554" s="70"/>
      <c r="E554" s="67"/>
      <c r="F554" s="70"/>
      <c r="G554" s="70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70"/>
      <c r="D555" s="70"/>
      <c r="E555" s="67"/>
      <c r="F555" s="70"/>
      <c r="G555" s="70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70"/>
      <c r="D556" s="70"/>
      <c r="E556" s="67"/>
      <c r="F556" s="70"/>
      <c r="G556" s="70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70"/>
      <c r="D557" s="70"/>
      <c r="E557" s="67"/>
      <c r="F557" s="70"/>
      <c r="G557" s="70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70"/>
      <c r="D558" s="70"/>
      <c r="E558" s="67"/>
      <c r="F558" s="70"/>
      <c r="G558" s="70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70"/>
      <c r="D559" s="70"/>
      <c r="E559" s="67"/>
      <c r="F559" s="70"/>
      <c r="G559" s="70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70"/>
      <c r="D560" s="70"/>
      <c r="E560" s="67"/>
      <c r="F560" s="70"/>
      <c r="G560" s="70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70"/>
      <c r="D561" s="70"/>
      <c r="E561" s="67"/>
      <c r="F561" s="70"/>
      <c r="G561" s="70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70"/>
      <c r="D562" s="70"/>
      <c r="E562" s="67"/>
      <c r="F562" s="70"/>
      <c r="G562" s="70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70"/>
      <c r="D563" s="70"/>
      <c r="E563" s="67"/>
      <c r="F563" s="70"/>
      <c r="G563" s="70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70"/>
      <c r="D564" s="70"/>
      <c r="E564" s="67"/>
      <c r="F564" s="70"/>
      <c r="G564" s="70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70"/>
      <c r="D565" s="70"/>
      <c r="E565" s="67"/>
      <c r="F565" s="70"/>
      <c r="G565" s="70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70"/>
      <c r="D566" s="70"/>
      <c r="E566" s="67"/>
      <c r="F566" s="70"/>
      <c r="G566" s="70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70"/>
      <c r="D567" s="70"/>
      <c r="E567" s="67"/>
      <c r="F567" s="70"/>
      <c r="G567" s="70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70"/>
      <c r="D568" s="70"/>
      <c r="E568" s="67"/>
      <c r="F568" s="70"/>
      <c r="G568" s="70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70"/>
      <c r="D569" s="70"/>
      <c r="E569" s="67"/>
      <c r="F569" s="70"/>
      <c r="G569" s="70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70"/>
      <c r="D570" s="70"/>
      <c r="E570" s="67"/>
      <c r="F570" s="70"/>
      <c r="G570" s="70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70"/>
      <c r="D571" s="70"/>
      <c r="E571" s="67"/>
      <c r="F571" s="70"/>
      <c r="G571" s="70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70"/>
      <c r="D572" s="70"/>
      <c r="E572" s="67"/>
      <c r="F572" s="70"/>
      <c r="G572" s="70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70"/>
      <c r="D573" s="70"/>
      <c r="E573" s="67"/>
      <c r="F573" s="70"/>
      <c r="G573" s="70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70"/>
      <c r="D574" s="70"/>
      <c r="E574" s="67"/>
      <c r="F574" s="70"/>
      <c r="G574" s="70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70"/>
      <c r="D575" s="70"/>
      <c r="E575" s="67"/>
      <c r="F575" s="70"/>
      <c r="G575" s="70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70"/>
      <c r="D576" s="70"/>
      <c r="E576" s="67"/>
      <c r="F576" s="70"/>
      <c r="G576" s="70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70"/>
      <c r="D577" s="70"/>
      <c r="E577" s="67"/>
      <c r="F577" s="70"/>
      <c r="G577" s="70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70"/>
      <c r="D578" s="70"/>
      <c r="E578" s="67"/>
      <c r="F578" s="70"/>
      <c r="G578" s="70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70"/>
      <c r="D579" s="70"/>
      <c r="E579" s="67"/>
      <c r="F579" s="70"/>
      <c r="G579" s="70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70"/>
      <c r="D580" s="70"/>
      <c r="E580" s="67"/>
      <c r="F580" s="70"/>
      <c r="G580" s="70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70"/>
      <c r="D581" s="70"/>
      <c r="E581" s="67"/>
      <c r="F581" s="70"/>
      <c r="G581" s="70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70"/>
      <c r="D582" s="70"/>
      <c r="E582" s="67"/>
      <c r="F582" s="70"/>
      <c r="G582" s="70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70"/>
      <c r="D583" s="70"/>
      <c r="E583" s="67"/>
      <c r="F583" s="70"/>
      <c r="G583" s="70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70"/>
      <c r="D584" s="70"/>
      <c r="E584" s="67"/>
      <c r="F584" s="70"/>
      <c r="G584" s="70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70"/>
      <c r="D585" s="70"/>
      <c r="E585" s="67"/>
      <c r="F585" s="70"/>
      <c r="G585" s="70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70"/>
      <c r="D586" s="70"/>
      <c r="E586" s="67"/>
      <c r="F586" s="70"/>
      <c r="G586" s="70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70"/>
      <c r="D587" s="70"/>
      <c r="E587" s="67"/>
      <c r="F587" s="70"/>
      <c r="G587" s="70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70"/>
      <c r="D588" s="70"/>
      <c r="E588" s="67"/>
      <c r="F588" s="70"/>
      <c r="G588" s="70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70"/>
      <c r="D589" s="70"/>
      <c r="E589" s="67"/>
      <c r="F589" s="70"/>
      <c r="G589" s="70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70"/>
      <c r="D590" s="70"/>
      <c r="E590" s="67"/>
      <c r="F590" s="70"/>
      <c r="G590" s="70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70"/>
      <c r="D591" s="70"/>
      <c r="E591" s="67"/>
      <c r="F591" s="70"/>
      <c r="G591" s="70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70"/>
      <c r="D592" s="70"/>
      <c r="E592" s="67"/>
      <c r="F592" s="70"/>
      <c r="G592" s="70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70"/>
      <c r="D593" s="70"/>
      <c r="E593" s="67"/>
      <c r="F593" s="70"/>
      <c r="G593" s="70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70"/>
      <c r="D594" s="70"/>
      <c r="E594" s="67"/>
      <c r="F594" s="70"/>
      <c r="G594" s="70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70"/>
      <c r="D595" s="70"/>
      <c r="E595" s="67"/>
      <c r="F595" s="70"/>
      <c r="G595" s="70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70"/>
      <c r="D596" s="70"/>
      <c r="E596" s="67"/>
      <c r="F596" s="70"/>
      <c r="G596" s="70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70"/>
      <c r="D597" s="70"/>
      <c r="E597" s="67"/>
      <c r="F597" s="70"/>
      <c r="G597" s="70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70"/>
      <c r="D598" s="70"/>
      <c r="E598" s="67"/>
      <c r="F598" s="70"/>
      <c r="G598" s="70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70"/>
      <c r="D599" s="70"/>
      <c r="E599" s="67"/>
      <c r="F599" s="70"/>
      <c r="G599" s="70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70"/>
      <c r="D600" s="70"/>
      <c r="E600" s="67"/>
      <c r="F600" s="70"/>
      <c r="G600" s="70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70"/>
      <c r="D601" s="70"/>
      <c r="E601" s="67"/>
      <c r="F601" s="70"/>
      <c r="G601" s="70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70"/>
      <c r="D602" s="70"/>
      <c r="E602" s="67"/>
      <c r="F602" s="70"/>
      <c r="G602" s="70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70"/>
      <c r="D603" s="70"/>
      <c r="E603" s="67"/>
      <c r="F603" s="70"/>
      <c r="G603" s="70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70"/>
      <c r="D604" s="70"/>
      <c r="E604" s="67"/>
      <c r="F604" s="70"/>
      <c r="G604" s="70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70"/>
      <c r="D605" s="70"/>
      <c r="E605" s="67"/>
      <c r="F605" s="70"/>
      <c r="G605" s="70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70"/>
      <c r="D606" s="70"/>
      <c r="E606" s="67"/>
      <c r="F606" s="70"/>
      <c r="G606" s="70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70"/>
      <c r="D607" s="70"/>
      <c r="E607" s="67"/>
      <c r="F607" s="70"/>
      <c r="G607" s="70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70"/>
      <c r="D608" s="70"/>
      <c r="E608" s="67"/>
      <c r="F608" s="70"/>
      <c r="G608" s="70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70"/>
      <c r="D609" s="70"/>
      <c r="E609" s="67"/>
      <c r="F609" s="70"/>
      <c r="G609" s="70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70"/>
      <c r="D610" s="70"/>
      <c r="E610" s="67"/>
      <c r="F610" s="70"/>
      <c r="G610" s="70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70"/>
      <c r="D611" s="70"/>
      <c r="E611" s="67"/>
      <c r="F611" s="70"/>
      <c r="G611" s="70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70"/>
      <c r="D612" s="70"/>
      <c r="E612" s="67"/>
      <c r="F612" s="70"/>
      <c r="G612" s="70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70"/>
      <c r="D613" s="70"/>
      <c r="E613" s="67"/>
      <c r="F613" s="70"/>
      <c r="G613" s="70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70"/>
      <c r="D614" s="70"/>
      <c r="E614" s="67"/>
      <c r="F614" s="70"/>
      <c r="G614" s="70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70"/>
      <c r="D615" s="70"/>
      <c r="E615" s="67"/>
      <c r="F615" s="70"/>
      <c r="G615" s="70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70"/>
      <c r="D616" s="70"/>
      <c r="E616" s="67"/>
      <c r="F616" s="70"/>
      <c r="G616" s="70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70"/>
      <c r="D617" s="70"/>
      <c r="E617" s="67"/>
      <c r="F617" s="70"/>
      <c r="G617" s="70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70"/>
      <c r="D618" s="70"/>
      <c r="E618" s="67"/>
      <c r="F618" s="70"/>
      <c r="G618" s="70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70"/>
      <c r="D619" s="70"/>
      <c r="E619" s="67"/>
      <c r="F619" s="70"/>
      <c r="G619" s="70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70"/>
      <c r="D620" s="70"/>
      <c r="E620" s="67"/>
      <c r="F620" s="70"/>
      <c r="G620" s="70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70"/>
      <c r="D621" s="70"/>
      <c r="E621" s="67"/>
      <c r="F621" s="70"/>
      <c r="G621" s="70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70"/>
      <c r="D622" s="70"/>
      <c r="E622" s="67"/>
      <c r="F622" s="70"/>
      <c r="G622" s="70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70"/>
      <c r="D623" s="70"/>
      <c r="E623" s="67"/>
      <c r="F623" s="70"/>
      <c r="G623" s="70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70"/>
      <c r="D624" s="70"/>
      <c r="E624" s="67"/>
      <c r="F624" s="70"/>
      <c r="G624" s="70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70"/>
      <c r="D625" s="70"/>
      <c r="E625" s="67"/>
      <c r="F625" s="70"/>
      <c r="G625" s="70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70"/>
      <c r="D626" s="70"/>
      <c r="E626" s="67"/>
      <c r="F626" s="70"/>
      <c r="G626" s="70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70"/>
      <c r="D627" s="70"/>
      <c r="E627" s="67"/>
      <c r="F627" s="70"/>
      <c r="G627" s="70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70"/>
      <c r="D628" s="70"/>
      <c r="E628" s="67"/>
      <c r="F628" s="70"/>
      <c r="G628" s="70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70"/>
      <c r="D629" s="70"/>
      <c r="E629" s="67"/>
      <c r="F629" s="70"/>
      <c r="G629" s="70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70"/>
      <c r="D630" s="70"/>
      <c r="E630" s="67"/>
      <c r="F630" s="70"/>
      <c r="G630" s="70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70"/>
      <c r="D631" s="70"/>
      <c r="E631" s="67"/>
      <c r="F631" s="70"/>
      <c r="G631" s="70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70"/>
      <c r="D632" s="70"/>
      <c r="E632" s="67"/>
      <c r="F632" s="70"/>
      <c r="G632" s="70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70"/>
      <c r="D633" s="70"/>
      <c r="E633" s="67"/>
      <c r="F633" s="70"/>
      <c r="G633" s="70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70"/>
      <c r="D634" s="70"/>
      <c r="E634" s="67"/>
      <c r="F634" s="70"/>
      <c r="G634" s="70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70"/>
      <c r="D635" s="70"/>
      <c r="E635" s="67"/>
      <c r="F635" s="70"/>
      <c r="G635" s="70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70"/>
      <c r="D636" s="70"/>
      <c r="E636" s="67"/>
      <c r="F636" s="70"/>
      <c r="G636" s="70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70"/>
      <c r="D637" s="70"/>
      <c r="E637" s="67"/>
      <c r="F637" s="70"/>
      <c r="G637" s="70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70"/>
      <c r="D638" s="70"/>
      <c r="E638" s="67"/>
      <c r="F638" s="70"/>
      <c r="G638" s="70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70"/>
      <c r="D639" s="70"/>
      <c r="E639" s="67"/>
      <c r="F639" s="70"/>
      <c r="G639" s="70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70"/>
      <c r="D640" s="70"/>
      <c r="E640" s="67"/>
      <c r="F640" s="70"/>
      <c r="G640" s="70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70"/>
      <c r="D641" s="70"/>
      <c r="E641" s="67"/>
      <c r="F641" s="70"/>
      <c r="G641" s="70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70"/>
      <c r="D642" s="70"/>
      <c r="E642" s="67"/>
      <c r="F642" s="70"/>
      <c r="G642" s="70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70"/>
      <c r="D643" s="70"/>
      <c r="E643" s="67"/>
      <c r="F643" s="70"/>
      <c r="G643" s="70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70"/>
      <c r="D644" s="70"/>
      <c r="E644" s="67"/>
      <c r="F644" s="70"/>
      <c r="G644" s="70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70"/>
      <c r="D645" s="70"/>
      <c r="E645" s="67"/>
      <c r="F645" s="70"/>
      <c r="G645" s="70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70"/>
      <c r="D646" s="70"/>
      <c r="E646" s="67"/>
      <c r="F646" s="70"/>
      <c r="G646" s="70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70"/>
      <c r="D647" s="70"/>
      <c r="E647" s="67"/>
      <c r="F647" s="70"/>
      <c r="G647" s="70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70"/>
      <c r="D648" s="70"/>
      <c r="E648" s="67"/>
      <c r="F648" s="70"/>
      <c r="G648" s="70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70"/>
      <c r="D649" s="70"/>
      <c r="E649" s="67"/>
      <c r="F649" s="70"/>
      <c r="G649" s="70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70"/>
      <c r="D650" s="70"/>
      <c r="E650" s="67"/>
      <c r="F650" s="70"/>
      <c r="G650" s="70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70"/>
      <c r="D651" s="70"/>
      <c r="E651" s="67"/>
      <c r="F651" s="70"/>
      <c r="G651" s="70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70"/>
      <c r="D652" s="70"/>
      <c r="E652" s="67"/>
      <c r="F652" s="70"/>
      <c r="G652" s="70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70"/>
      <c r="D653" s="70"/>
      <c r="E653" s="67"/>
      <c r="F653" s="70"/>
      <c r="G653" s="70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70"/>
      <c r="D654" s="70"/>
      <c r="E654" s="67"/>
      <c r="F654" s="70"/>
      <c r="G654" s="70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70"/>
      <c r="D655" s="70"/>
      <c r="E655" s="67"/>
      <c r="F655" s="70"/>
      <c r="G655" s="70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70"/>
      <c r="D656" s="70"/>
      <c r="E656" s="67"/>
      <c r="F656" s="70"/>
      <c r="G656" s="70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70"/>
      <c r="D657" s="70"/>
      <c r="E657" s="67"/>
      <c r="F657" s="70"/>
      <c r="G657" s="70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70"/>
      <c r="D658" s="70"/>
      <c r="E658" s="67"/>
      <c r="F658" s="70"/>
      <c r="G658" s="70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70"/>
      <c r="D659" s="70"/>
      <c r="E659" s="67"/>
      <c r="F659" s="70"/>
      <c r="G659" s="70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70"/>
      <c r="D660" s="70"/>
      <c r="E660" s="67"/>
      <c r="F660" s="70"/>
      <c r="G660" s="70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70"/>
      <c r="D661" s="70"/>
      <c r="E661" s="67"/>
      <c r="F661" s="70"/>
      <c r="G661" s="70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70"/>
      <c r="D662" s="70"/>
      <c r="E662" s="67"/>
      <c r="F662" s="70"/>
      <c r="G662" s="70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70"/>
      <c r="D663" s="70"/>
      <c r="E663" s="67"/>
      <c r="F663" s="70"/>
      <c r="G663" s="70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70"/>
      <c r="D664" s="70"/>
      <c r="E664" s="67"/>
      <c r="F664" s="70"/>
      <c r="G664" s="70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70"/>
      <c r="D665" s="70"/>
      <c r="E665" s="67"/>
      <c r="F665" s="70"/>
      <c r="G665" s="70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70"/>
      <c r="D666" s="70"/>
      <c r="E666" s="67"/>
      <c r="F666" s="70"/>
      <c r="G666" s="70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70"/>
      <c r="D667" s="70"/>
      <c r="E667" s="67"/>
      <c r="F667" s="70"/>
      <c r="G667" s="70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70"/>
      <c r="D668" s="70"/>
      <c r="E668" s="67"/>
      <c r="F668" s="70"/>
      <c r="G668" s="70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70"/>
      <c r="D669" s="70"/>
      <c r="E669" s="67"/>
      <c r="F669" s="70"/>
      <c r="G669" s="70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70"/>
      <c r="D670" s="70"/>
      <c r="E670" s="67"/>
      <c r="F670" s="70"/>
      <c r="G670" s="70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70"/>
      <c r="D671" s="70"/>
      <c r="E671" s="67"/>
      <c r="F671" s="70"/>
      <c r="G671" s="70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70"/>
      <c r="D672" s="70"/>
      <c r="E672" s="67"/>
      <c r="F672" s="70"/>
      <c r="G672" s="70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70"/>
      <c r="D673" s="70"/>
      <c r="E673" s="67"/>
      <c r="F673" s="70"/>
      <c r="G673" s="70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70"/>
      <c r="D674" s="70"/>
      <c r="E674" s="67"/>
      <c r="F674" s="70"/>
      <c r="G674" s="70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70"/>
      <c r="D675" s="70"/>
      <c r="E675" s="67"/>
      <c r="F675" s="70"/>
      <c r="G675" s="70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70"/>
      <c r="D676" s="70"/>
      <c r="E676" s="67"/>
      <c r="F676" s="70"/>
      <c r="G676" s="70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70"/>
      <c r="D677" s="70"/>
      <c r="E677" s="67"/>
      <c r="F677" s="70"/>
      <c r="G677" s="70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70"/>
      <c r="D678" s="70"/>
      <c r="E678" s="67"/>
      <c r="F678" s="70"/>
      <c r="G678" s="70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70"/>
      <c r="D679" s="70"/>
      <c r="E679" s="67"/>
      <c r="F679" s="70"/>
      <c r="G679" s="70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70"/>
      <c r="D680" s="70"/>
      <c r="E680" s="67"/>
      <c r="F680" s="70"/>
      <c r="G680" s="70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70"/>
      <c r="D681" s="70"/>
      <c r="E681" s="67"/>
      <c r="F681" s="70"/>
      <c r="G681" s="70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70"/>
      <c r="D682" s="70"/>
      <c r="E682" s="67"/>
      <c r="F682" s="70"/>
      <c r="G682" s="70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70"/>
      <c r="D683" s="70"/>
      <c r="E683" s="67"/>
      <c r="F683" s="70"/>
      <c r="G683" s="70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70"/>
      <c r="D684" s="70"/>
      <c r="E684" s="67"/>
      <c r="F684" s="70"/>
      <c r="G684" s="70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70"/>
      <c r="D685" s="70"/>
      <c r="E685" s="67"/>
      <c r="F685" s="70"/>
      <c r="G685" s="70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70"/>
      <c r="D686" s="70"/>
      <c r="E686" s="67"/>
      <c r="F686" s="70"/>
      <c r="G686" s="70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70"/>
      <c r="D687" s="70"/>
      <c r="E687" s="67"/>
      <c r="F687" s="70"/>
      <c r="G687" s="70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70"/>
      <c r="D688" s="70"/>
      <c r="E688" s="67"/>
      <c r="F688" s="70"/>
      <c r="G688" s="70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70"/>
      <c r="D689" s="70"/>
      <c r="E689" s="67"/>
      <c r="F689" s="70"/>
      <c r="G689" s="70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70"/>
      <c r="D690" s="70"/>
      <c r="E690" s="67"/>
      <c r="F690" s="70"/>
      <c r="G690" s="70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70"/>
      <c r="D691" s="70"/>
      <c r="E691" s="67"/>
      <c r="F691" s="70"/>
      <c r="G691" s="70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70"/>
      <c r="D692" s="70"/>
      <c r="E692" s="67"/>
      <c r="F692" s="70"/>
      <c r="G692" s="70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70"/>
      <c r="D693" s="70"/>
      <c r="E693" s="67"/>
      <c r="F693" s="70"/>
      <c r="G693" s="70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70"/>
      <c r="D694" s="70"/>
      <c r="E694" s="67"/>
      <c r="F694" s="70"/>
      <c r="G694" s="70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70"/>
      <c r="D695" s="70"/>
      <c r="E695" s="67"/>
      <c r="F695" s="70"/>
      <c r="G695" s="70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70"/>
      <c r="D696" s="70"/>
      <c r="E696" s="67"/>
      <c r="F696" s="70"/>
      <c r="G696" s="70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70"/>
      <c r="D697" s="70"/>
      <c r="E697" s="67"/>
      <c r="F697" s="70"/>
      <c r="G697" s="70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70"/>
      <c r="D698" s="70"/>
      <c r="E698" s="67"/>
      <c r="F698" s="70"/>
      <c r="G698" s="70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70"/>
      <c r="D699" s="70"/>
      <c r="E699" s="67"/>
      <c r="F699" s="70"/>
      <c r="G699" s="70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70"/>
      <c r="D700" s="70"/>
      <c r="E700" s="67"/>
      <c r="F700" s="70"/>
      <c r="G700" s="70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70"/>
      <c r="D701" s="70"/>
      <c r="E701" s="67"/>
      <c r="F701" s="70"/>
      <c r="G701" s="70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70"/>
      <c r="D702" s="70"/>
      <c r="E702" s="67"/>
      <c r="F702" s="70"/>
      <c r="G702" s="70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70"/>
      <c r="D703" s="70"/>
      <c r="E703" s="67"/>
      <c r="F703" s="70"/>
      <c r="G703" s="70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70"/>
      <c r="D704" s="70"/>
      <c r="E704" s="67"/>
      <c r="F704" s="70"/>
      <c r="G704" s="70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70"/>
      <c r="D705" s="70"/>
      <c r="E705" s="67"/>
      <c r="F705" s="70"/>
      <c r="G705" s="70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70"/>
      <c r="D706" s="70"/>
      <c r="E706" s="67"/>
      <c r="F706" s="70"/>
      <c r="G706" s="70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70"/>
      <c r="D707" s="70"/>
      <c r="E707" s="67"/>
      <c r="F707" s="70"/>
      <c r="G707" s="70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70"/>
      <c r="D708" s="70"/>
      <c r="E708" s="67"/>
      <c r="F708" s="70"/>
      <c r="G708" s="70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70"/>
      <c r="D709" s="70"/>
      <c r="E709" s="67"/>
      <c r="F709" s="70"/>
      <c r="G709" s="70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70"/>
      <c r="D710" s="70"/>
      <c r="E710" s="67"/>
      <c r="F710" s="70"/>
      <c r="G710" s="70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70"/>
      <c r="D711" s="70"/>
      <c r="E711" s="67"/>
      <c r="F711" s="70"/>
      <c r="G711" s="70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70"/>
      <c r="D712" s="70"/>
      <c r="E712" s="67"/>
      <c r="F712" s="70"/>
      <c r="G712" s="70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70"/>
      <c r="D713" s="70"/>
      <c r="E713" s="67"/>
      <c r="F713" s="70"/>
      <c r="G713" s="70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70"/>
      <c r="D714" s="70"/>
      <c r="E714" s="67"/>
      <c r="F714" s="70"/>
      <c r="G714" s="70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70"/>
      <c r="D715" s="70"/>
      <c r="E715" s="67"/>
      <c r="F715" s="70"/>
      <c r="G715" s="70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70"/>
      <c r="D716" s="70"/>
      <c r="E716" s="67"/>
      <c r="F716" s="70"/>
      <c r="G716" s="70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70"/>
      <c r="D717" s="70"/>
      <c r="E717" s="67"/>
      <c r="F717" s="70"/>
      <c r="G717" s="70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70"/>
      <c r="D718" s="70"/>
      <c r="E718" s="67"/>
      <c r="F718" s="70"/>
      <c r="G718" s="70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70"/>
      <c r="D719" s="70"/>
      <c r="E719" s="67"/>
      <c r="F719" s="70"/>
      <c r="G719" s="70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70"/>
      <c r="D720" s="70"/>
      <c r="E720" s="67"/>
      <c r="F720" s="70"/>
      <c r="G720" s="70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70"/>
      <c r="D721" s="70"/>
      <c r="E721" s="67"/>
      <c r="F721" s="70"/>
      <c r="G721" s="70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70"/>
      <c r="D722" s="70"/>
      <c r="E722" s="67"/>
      <c r="F722" s="70"/>
      <c r="G722" s="70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70"/>
      <c r="D723" s="70"/>
      <c r="E723" s="67"/>
      <c r="F723" s="70"/>
      <c r="G723" s="70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70"/>
      <c r="D724" s="70"/>
      <c r="E724" s="67"/>
      <c r="F724" s="70"/>
      <c r="G724" s="70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70"/>
      <c r="D725" s="70"/>
      <c r="E725" s="67"/>
      <c r="F725" s="70"/>
      <c r="G725" s="70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70"/>
      <c r="D726" s="70"/>
      <c r="E726" s="67"/>
      <c r="F726" s="70"/>
      <c r="G726" s="70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70"/>
      <c r="D727" s="70"/>
      <c r="E727" s="67"/>
      <c r="F727" s="70"/>
      <c r="G727" s="70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70"/>
      <c r="D728" s="70"/>
      <c r="E728" s="67"/>
      <c r="F728" s="70"/>
      <c r="G728" s="70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70"/>
      <c r="D729" s="70"/>
      <c r="E729" s="67"/>
      <c r="F729" s="70"/>
      <c r="G729" s="70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70"/>
      <c r="D730" s="70"/>
      <c r="E730" s="67"/>
      <c r="F730" s="70"/>
      <c r="G730" s="70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70"/>
      <c r="D731" s="70"/>
      <c r="E731" s="67"/>
      <c r="F731" s="70"/>
      <c r="G731" s="70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70"/>
      <c r="D732" s="70"/>
      <c r="E732" s="67"/>
      <c r="F732" s="70"/>
      <c r="G732" s="70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70"/>
      <c r="D733" s="70"/>
      <c r="E733" s="67"/>
      <c r="F733" s="70"/>
      <c r="G733" s="70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70"/>
      <c r="D734" s="70"/>
      <c r="E734" s="67"/>
      <c r="F734" s="70"/>
      <c r="G734" s="70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70"/>
      <c r="D735" s="70"/>
      <c r="E735" s="67"/>
      <c r="F735" s="70"/>
      <c r="G735" s="70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70"/>
      <c r="D736" s="70"/>
      <c r="E736" s="67"/>
      <c r="F736" s="70"/>
      <c r="G736" s="70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70"/>
      <c r="D737" s="70"/>
      <c r="E737" s="67"/>
      <c r="F737" s="70"/>
      <c r="G737" s="70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12"/>
      <c r="B738" s="12"/>
      <c r="C738" s="103"/>
      <c r="D738" s="103"/>
      <c r="E738" s="12"/>
      <c r="F738" s="103"/>
      <c r="G738" s="103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03"/>
      <c r="D739" s="103"/>
      <c r="E739" s="12"/>
      <c r="F739" s="103"/>
      <c r="G739" s="103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03"/>
      <c r="D740" s="103"/>
      <c r="E740" s="12"/>
      <c r="F740" s="103"/>
      <c r="G740" s="103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03"/>
      <c r="D741" s="103"/>
      <c r="E741" s="12"/>
      <c r="F741" s="103"/>
      <c r="G741" s="103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03"/>
      <c r="D742" s="103"/>
      <c r="E742" s="12"/>
      <c r="F742" s="103"/>
      <c r="G742" s="103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03"/>
      <c r="D743" s="103"/>
      <c r="E743" s="12"/>
      <c r="F743" s="103"/>
      <c r="G743" s="103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03"/>
      <c r="D744" s="103"/>
      <c r="E744" s="12"/>
      <c r="F744" s="103"/>
      <c r="G744" s="103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03"/>
      <c r="D745" s="103"/>
      <c r="E745" s="12"/>
      <c r="F745" s="103"/>
      <c r="G745" s="103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03"/>
      <c r="D746" s="103"/>
      <c r="E746" s="12"/>
      <c r="F746" s="103"/>
      <c r="G746" s="103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03"/>
      <c r="D747" s="103"/>
      <c r="E747" s="12"/>
      <c r="F747" s="103"/>
      <c r="G747" s="103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03"/>
      <c r="D748" s="103"/>
      <c r="E748" s="12"/>
      <c r="F748" s="103"/>
      <c r="G748" s="103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03"/>
      <c r="D749" s="103"/>
      <c r="E749" s="12"/>
      <c r="F749" s="103"/>
      <c r="G749" s="103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03"/>
      <c r="D750" s="103"/>
      <c r="E750" s="12"/>
      <c r="F750" s="103"/>
      <c r="G750" s="103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03"/>
      <c r="D751" s="103"/>
      <c r="E751" s="12"/>
      <c r="F751" s="103"/>
      <c r="G751" s="103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03"/>
      <c r="D752" s="103"/>
      <c r="E752" s="12"/>
      <c r="F752" s="103"/>
      <c r="G752" s="103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03"/>
      <c r="D753" s="103"/>
      <c r="E753" s="12"/>
      <c r="F753" s="103"/>
      <c r="G753" s="103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03"/>
      <c r="D754" s="103"/>
      <c r="E754" s="12"/>
      <c r="F754" s="103"/>
      <c r="G754" s="103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03"/>
      <c r="D755" s="103"/>
      <c r="E755" s="12"/>
      <c r="F755" s="103"/>
      <c r="G755" s="103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03"/>
      <c r="D756" s="103"/>
      <c r="E756" s="12"/>
      <c r="F756" s="103"/>
      <c r="G756" s="103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03"/>
      <c r="D757" s="103"/>
      <c r="E757" s="12"/>
      <c r="F757" s="103"/>
      <c r="G757" s="103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03"/>
      <c r="D758" s="103"/>
      <c r="E758" s="12"/>
      <c r="F758" s="103"/>
      <c r="G758" s="103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03"/>
      <c r="D759" s="103"/>
      <c r="E759" s="12"/>
      <c r="F759" s="103"/>
      <c r="G759" s="103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03"/>
      <c r="D760" s="103"/>
      <c r="E760" s="12"/>
      <c r="F760" s="103"/>
      <c r="G760" s="103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03"/>
      <c r="D761" s="103"/>
      <c r="E761" s="12"/>
      <c r="F761" s="103"/>
      <c r="G761" s="103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03"/>
      <c r="D762" s="103"/>
      <c r="E762" s="12"/>
      <c r="F762" s="103"/>
      <c r="G762" s="103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03"/>
      <c r="D763" s="103"/>
      <c r="E763" s="12"/>
      <c r="F763" s="103"/>
      <c r="G763" s="103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03"/>
      <c r="D764" s="103"/>
      <c r="E764" s="12"/>
      <c r="F764" s="103"/>
      <c r="G764" s="103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03"/>
      <c r="D765" s="103"/>
      <c r="E765" s="12"/>
      <c r="F765" s="103"/>
      <c r="G765" s="103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03"/>
      <c r="D766" s="103"/>
      <c r="E766" s="12"/>
      <c r="F766" s="103"/>
      <c r="G766" s="103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03"/>
      <c r="D767" s="103"/>
      <c r="E767" s="12"/>
      <c r="F767" s="103"/>
      <c r="G767" s="103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03"/>
      <c r="D768" s="103"/>
      <c r="E768" s="12"/>
      <c r="F768" s="103"/>
      <c r="G768" s="103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03"/>
      <c r="D769" s="103"/>
      <c r="E769" s="12"/>
      <c r="F769" s="103"/>
      <c r="G769" s="103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03"/>
      <c r="D770" s="103"/>
      <c r="E770" s="12"/>
      <c r="F770" s="103"/>
      <c r="G770" s="103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03"/>
      <c r="D771" s="103"/>
      <c r="E771" s="12"/>
      <c r="F771" s="103"/>
      <c r="G771" s="103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03"/>
      <c r="D772" s="103"/>
      <c r="E772" s="12"/>
      <c r="F772" s="103"/>
      <c r="G772" s="103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03"/>
      <c r="D773" s="103"/>
      <c r="E773" s="12"/>
      <c r="F773" s="103"/>
      <c r="G773" s="103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03"/>
      <c r="D774" s="103"/>
      <c r="E774" s="12"/>
      <c r="F774" s="103"/>
      <c r="G774" s="103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03"/>
      <c r="D775" s="103"/>
      <c r="E775" s="12"/>
      <c r="F775" s="103"/>
      <c r="G775" s="103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03"/>
      <c r="D776" s="103"/>
      <c r="E776" s="12"/>
      <c r="F776" s="103"/>
      <c r="G776" s="103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03"/>
      <c r="D777" s="103"/>
      <c r="E777" s="12"/>
      <c r="F777" s="103"/>
      <c r="G777" s="103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03"/>
      <c r="D778" s="103"/>
      <c r="E778" s="12"/>
      <c r="F778" s="103"/>
      <c r="G778" s="103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03"/>
      <c r="D779" s="103"/>
      <c r="E779" s="12"/>
      <c r="F779" s="103"/>
      <c r="G779" s="103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03"/>
      <c r="D780" s="103"/>
      <c r="E780" s="12"/>
      <c r="F780" s="103"/>
      <c r="G780" s="103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03"/>
      <c r="D781" s="103"/>
      <c r="E781" s="12"/>
      <c r="F781" s="103"/>
      <c r="G781" s="103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03"/>
      <c r="D782" s="103"/>
      <c r="E782" s="12"/>
      <c r="F782" s="103"/>
      <c r="G782" s="103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03"/>
      <c r="D783" s="103"/>
      <c r="E783" s="12"/>
      <c r="F783" s="103"/>
      <c r="G783" s="103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03"/>
      <c r="D784" s="103"/>
      <c r="E784" s="12"/>
      <c r="F784" s="103"/>
      <c r="G784" s="103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03"/>
      <c r="D785" s="103"/>
      <c r="E785" s="12"/>
      <c r="F785" s="103"/>
      <c r="G785" s="103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03"/>
      <c r="D786" s="103"/>
      <c r="E786" s="12"/>
      <c r="F786" s="103"/>
      <c r="G786" s="103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03"/>
      <c r="D787" s="103"/>
      <c r="E787" s="12"/>
      <c r="F787" s="103"/>
      <c r="G787" s="103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03"/>
      <c r="D788" s="103"/>
      <c r="E788" s="12"/>
      <c r="F788" s="103"/>
      <c r="G788" s="103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03"/>
      <c r="D789" s="103"/>
      <c r="E789" s="12"/>
      <c r="F789" s="103"/>
      <c r="G789" s="103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03"/>
      <c r="D790" s="103"/>
      <c r="E790" s="12"/>
      <c r="F790" s="103"/>
      <c r="G790" s="103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</sheetData>
  <mergeCells count="3">
    <mergeCell ref="G1:H1"/>
    <mergeCell ref="I1:J1"/>
    <mergeCell ref="B8:J8"/>
  </mergeCells>
  <dataValidations>
    <dataValidation type="list" allowBlank="1" showErrorMessage="1" sqref="I10:I31 I33:I59 I61:I84 I86:I97">
      <formula1>$I$2:$I$5</formula1>
    </dataValidation>
    <dataValidation type="list" allowBlank="1" showErrorMessage="1" sqref="H10:H59 H61:H84 H86:H97">
      <formula1>$G$2:$G$5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 outlineLevelRow="2"/>
  <cols>
    <col customWidth="1" min="2" max="2" width="39.14"/>
    <col customWidth="1" min="3" max="3" width="29.86"/>
    <col customWidth="1" min="4" max="4" width="27.14"/>
    <col customWidth="1" min="5" max="5" width="18.0"/>
    <col customWidth="1" min="6" max="6" width="35.43"/>
    <col customWidth="1" min="7" max="7" width="60.29"/>
    <col customWidth="1" min="8" max="10" width="19.71"/>
  </cols>
  <sheetData>
    <row r="1">
      <c r="A1" s="67"/>
      <c r="B1" s="68" t="s">
        <v>108</v>
      </c>
      <c r="C1" s="69" t="s">
        <v>256</v>
      </c>
      <c r="D1" s="70"/>
      <c r="E1" s="67"/>
      <c r="F1" s="70"/>
      <c r="G1" s="71" t="s">
        <v>110</v>
      </c>
      <c r="H1" s="19"/>
      <c r="I1" s="72" t="s">
        <v>111</v>
      </c>
      <c r="J1" s="19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68" t="s">
        <v>112</v>
      </c>
      <c r="C2" s="69" t="s">
        <v>257</v>
      </c>
      <c r="D2" s="70"/>
      <c r="E2" s="67"/>
      <c r="F2" s="70"/>
      <c r="G2" s="73" t="str">
        <f>Glossary!D2</f>
        <v>Passed</v>
      </c>
      <c r="H2" s="74">
        <f t="shared" ref="H2:H5" si="1">COUNTIF($H$10:H606,G2)</f>
        <v>0</v>
      </c>
      <c r="I2" s="75" t="str">
        <f>Glossary!F2</f>
        <v>Done</v>
      </c>
      <c r="J2" s="74">
        <f t="shared" ref="J2:J5" si="2">COUNTIF($I$10:I606,I2)</f>
        <v>1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8" t="s">
        <v>114</v>
      </c>
      <c r="C3" s="76">
        <f>COUNTA(G10:G606)</f>
        <v>98</v>
      </c>
      <c r="D3" s="70"/>
      <c r="E3" s="67"/>
      <c r="F3" s="70"/>
      <c r="G3" s="73" t="str">
        <f>Glossary!D3</f>
        <v>Failed</v>
      </c>
      <c r="H3" s="74">
        <f t="shared" si="1"/>
        <v>2</v>
      </c>
      <c r="I3" s="75" t="str">
        <f>Glossary!F3</f>
        <v>Open</v>
      </c>
      <c r="J3" s="74">
        <f t="shared" si="2"/>
        <v>0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8" t="s">
        <v>115</v>
      </c>
      <c r="C4" s="77">
        <f>($H$2+$H$3)/$C$3</f>
        <v>0.02040816327</v>
      </c>
      <c r="D4" s="70"/>
      <c r="E4" s="67"/>
      <c r="F4" s="70"/>
      <c r="G4" s="73" t="str">
        <f>Glossary!D4</f>
        <v>Pending</v>
      </c>
      <c r="H4" s="74">
        <f t="shared" si="1"/>
        <v>0</v>
      </c>
      <c r="I4" s="75" t="str">
        <f>Glossary!F4</f>
        <v>Pending</v>
      </c>
      <c r="J4" s="74">
        <f t="shared" si="2"/>
        <v>0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7"/>
      <c r="B5" s="68" t="s">
        <v>116</v>
      </c>
      <c r="C5" s="69"/>
      <c r="D5" s="70"/>
      <c r="E5" s="67"/>
      <c r="F5" s="70"/>
      <c r="G5" s="73" t="str">
        <f>Glossary!D5</f>
        <v>N/A</v>
      </c>
      <c r="H5" s="74">
        <f t="shared" si="1"/>
        <v>96</v>
      </c>
      <c r="I5" s="75" t="str">
        <f>Glossary!F5</f>
        <v>Rejected</v>
      </c>
      <c r="J5" s="74">
        <f t="shared" si="2"/>
        <v>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/>
      <c r="C6" s="70"/>
      <c r="D6" s="70"/>
      <c r="E6" s="67"/>
      <c r="F6" s="70"/>
      <c r="G6" s="70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78" t="s">
        <v>117</v>
      </c>
      <c r="B7" s="78" t="s">
        <v>118</v>
      </c>
      <c r="C7" s="79" t="s">
        <v>119</v>
      </c>
      <c r="D7" s="79" t="s">
        <v>120</v>
      </c>
      <c r="E7" s="78" t="s">
        <v>121</v>
      </c>
      <c r="F7" s="79" t="s">
        <v>122</v>
      </c>
      <c r="G7" s="79" t="s">
        <v>123</v>
      </c>
      <c r="H7" s="78" t="s">
        <v>124</v>
      </c>
      <c r="I7" s="78" t="s">
        <v>111</v>
      </c>
      <c r="J7" s="78" t="s">
        <v>125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1"/>
      <c r="B8" s="82" t="s">
        <v>126</v>
      </c>
      <c r="C8" s="83"/>
      <c r="D8" s="83"/>
      <c r="E8" s="83"/>
      <c r="F8" s="83"/>
      <c r="G8" s="83"/>
      <c r="H8" s="83"/>
      <c r="I8" s="83"/>
      <c r="J8" s="84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85"/>
      <c r="B9" s="86" t="s">
        <v>258</v>
      </c>
      <c r="C9" s="87"/>
      <c r="D9" s="87"/>
      <c r="E9" s="87"/>
      <c r="F9" s="87"/>
      <c r="G9" s="87"/>
      <c r="H9" s="87"/>
      <c r="I9" s="87"/>
      <c r="J9" s="8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outlineLevel="1">
      <c r="A10" s="88"/>
      <c r="B10" s="89" t="s">
        <v>128</v>
      </c>
      <c r="C10" s="90"/>
      <c r="D10" s="90"/>
      <c r="E10" s="91"/>
      <c r="F10" s="90"/>
      <c r="G10" s="90"/>
      <c r="H10" s="91"/>
      <c r="I10" s="91"/>
      <c r="J10" s="91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outlineLevel="2">
      <c r="A11" s="92" t="str">
        <f t="shared" ref="A11:A74" si="3">IF(G11="","",$C$2&amp;"-"&amp;SUBTOTAL(3,$G$10:G11))</f>
        <v>Categories-1</v>
      </c>
      <c r="B11" s="93" t="s">
        <v>129</v>
      </c>
      <c r="C11" s="93" t="s">
        <v>130</v>
      </c>
      <c r="D11" s="93" t="s">
        <v>130</v>
      </c>
      <c r="E11" s="94"/>
      <c r="F11" s="93" t="s">
        <v>259</v>
      </c>
      <c r="G11" s="69" t="s">
        <v>260</v>
      </c>
      <c r="H11" s="69" t="s">
        <v>57</v>
      </c>
      <c r="I11" s="94"/>
      <c r="J11" s="9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outlineLevel="2">
      <c r="A12" s="92" t="str">
        <f t="shared" si="3"/>
        <v>Categories-2</v>
      </c>
      <c r="B12" s="95"/>
      <c r="C12" s="95"/>
      <c r="D12" s="95"/>
      <c r="E12" s="94"/>
      <c r="F12" s="95"/>
      <c r="G12" s="69" t="s">
        <v>133</v>
      </c>
      <c r="H12" s="69" t="s">
        <v>57</v>
      </c>
      <c r="I12" s="94"/>
      <c r="J12" s="94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outlineLevel="2">
      <c r="A13" s="92" t="str">
        <f t="shared" si="3"/>
        <v>Categories-3</v>
      </c>
      <c r="B13" s="95"/>
      <c r="C13" s="95"/>
      <c r="D13" s="95"/>
      <c r="E13" s="94"/>
      <c r="F13" s="95"/>
      <c r="G13" s="69" t="s">
        <v>134</v>
      </c>
      <c r="H13" s="69" t="s">
        <v>57</v>
      </c>
      <c r="I13" s="94"/>
      <c r="J13" s="94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outlineLevel="2">
      <c r="A14" s="92" t="str">
        <f t="shared" si="3"/>
        <v>Categories-4</v>
      </c>
      <c r="B14" s="95"/>
      <c r="C14" s="96"/>
      <c r="D14" s="96"/>
      <c r="E14" s="94"/>
      <c r="F14" s="96"/>
      <c r="G14" s="69" t="s">
        <v>135</v>
      </c>
      <c r="H14" s="69" t="s">
        <v>57</v>
      </c>
      <c r="I14" s="94"/>
      <c r="J14" s="9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outlineLevel="2">
      <c r="A15" s="92" t="str">
        <f t="shared" si="3"/>
        <v>Categories-5</v>
      </c>
      <c r="B15" s="95"/>
      <c r="C15" s="93" t="s">
        <v>261</v>
      </c>
      <c r="D15" s="69" t="s">
        <v>262</v>
      </c>
      <c r="E15" s="98"/>
      <c r="F15" s="69" t="s">
        <v>263</v>
      </c>
      <c r="G15" s="99" t="s">
        <v>264</v>
      </c>
      <c r="H15" s="69" t="s">
        <v>57</v>
      </c>
      <c r="I15" s="94"/>
      <c r="J15" s="69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outlineLevel="2">
      <c r="A16" s="92" t="str">
        <f t="shared" si="3"/>
        <v>Categories-6</v>
      </c>
      <c r="B16" s="95"/>
      <c r="C16" s="95"/>
      <c r="D16" s="93" t="s">
        <v>265</v>
      </c>
      <c r="E16" s="98"/>
      <c r="F16" s="93" t="s">
        <v>263</v>
      </c>
      <c r="G16" s="99" t="s">
        <v>266</v>
      </c>
      <c r="H16" s="69" t="s">
        <v>57</v>
      </c>
      <c r="I16" s="94"/>
      <c r="J16" s="94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outlineLevel="2">
      <c r="A17" s="92" t="str">
        <f t="shared" si="3"/>
        <v>Categories-7</v>
      </c>
      <c r="B17" s="96"/>
      <c r="C17" s="96"/>
      <c r="D17" s="96"/>
      <c r="E17" s="98"/>
      <c r="F17" s="96"/>
      <c r="G17" s="99" t="s">
        <v>144</v>
      </c>
      <c r="H17" s="69" t="s">
        <v>57</v>
      </c>
      <c r="I17" s="94"/>
      <c r="J17" s="94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31.5" customHeight="1" outlineLevel="2">
      <c r="A18" s="92" t="str">
        <f t="shared" si="3"/>
        <v>Categories-8</v>
      </c>
      <c r="B18" s="100" t="s">
        <v>145</v>
      </c>
      <c r="C18" s="100" t="s">
        <v>145</v>
      </c>
      <c r="D18" s="100" t="s">
        <v>145</v>
      </c>
      <c r="E18" s="98"/>
      <c r="F18" s="93" t="s">
        <v>267</v>
      </c>
      <c r="G18" s="99" t="s">
        <v>147</v>
      </c>
      <c r="H18" s="69" t="s">
        <v>57</v>
      </c>
      <c r="I18" s="94"/>
      <c r="J18" s="94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outlineLevel="2">
      <c r="A19" s="92" t="str">
        <f t="shared" si="3"/>
        <v>Categories-9</v>
      </c>
      <c r="B19" s="101"/>
      <c r="C19" s="101"/>
      <c r="D19" s="101"/>
      <c r="E19" s="98"/>
      <c r="F19" s="96"/>
      <c r="G19" s="99" t="s">
        <v>268</v>
      </c>
      <c r="H19" s="69" t="s">
        <v>57</v>
      </c>
      <c r="I19" s="94"/>
      <c r="J19" s="94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outlineLevel="1">
      <c r="A20" s="92" t="str">
        <f t="shared" si="3"/>
        <v/>
      </c>
      <c r="B20" s="89" t="s">
        <v>149</v>
      </c>
      <c r="C20" s="90"/>
      <c r="D20" s="90"/>
      <c r="E20" s="91"/>
      <c r="F20" s="90"/>
      <c r="G20" s="90"/>
      <c r="H20" s="91"/>
      <c r="I20" s="91"/>
      <c r="J20" s="91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63.0" customHeight="1" outlineLevel="2">
      <c r="A21" s="92" t="str">
        <f t="shared" si="3"/>
        <v>Categories-10</v>
      </c>
      <c r="B21" s="93" t="s">
        <v>269</v>
      </c>
      <c r="C21" s="93" t="s">
        <v>151</v>
      </c>
      <c r="D21" s="93" t="s">
        <v>270</v>
      </c>
      <c r="E21" s="99"/>
      <c r="F21" s="93" t="s">
        <v>271</v>
      </c>
      <c r="G21" s="99" t="s">
        <v>154</v>
      </c>
      <c r="H21" s="69" t="s">
        <v>57</v>
      </c>
      <c r="I21" s="94"/>
      <c r="J21" s="94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63.0" customHeight="1" outlineLevel="2">
      <c r="A22" s="92" t="str">
        <f t="shared" si="3"/>
        <v>Categories-11</v>
      </c>
      <c r="B22" s="95"/>
      <c r="C22" s="95"/>
      <c r="D22" s="93" t="s">
        <v>272</v>
      </c>
      <c r="E22" s="99"/>
      <c r="F22" s="93" t="s">
        <v>271</v>
      </c>
      <c r="G22" s="99" t="s">
        <v>154</v>
      </c>
      <c r="H22" s="69" t="s">
        <v>57</v>
      </c>
      <c r="I22" s="94"/>
      <c r="J22" s="94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5.75" customHeight="1" outlineLevel="2">
      <c r="A23" s="92" t="str">
        <f t="shared" si="3"/>
        <v>Categories-12</v>
      </c>
      <c r="B23" s="95"/>
      <c r="C23" s="96"/>
      <c r="D23" s="102" t="s">
        <v>273</v>
      </c>
      <c r="E23" s="99"/>
      <c r="F23" s="93" t="s">
        <v>271</v>
      </c>
      <c r="G23" s="99" t="s">
        <v>154</v>
      </c>
      <c r="H23" s="69" t="s">
        <v>57</v>
      </c>
      <c r="I23" s="94"/>
      <c r="J23" s="94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5.75" customHeight="1" outlineLevel="2">
      <c r="A24" s="92" t="str">
        <f t="shared" si="3"/>
        <v>Categories-13</v>
      </c>
      <c r="B24" s="96"/>
      <c r="C24" s="99" t="s">
        <v>156</v>
      </c>
      <c r="D24" s="102" t="s">
        <v>274</v>
      </c>
      <c r="E24" s="99"/>
      <c r="F24" s="93" t="s">
        <v>271</v>
      </c>
      <c r="G24" s="99" t="s">
        <v>154</v>
      </c>
      <c r="H24" s="69" t="s">
        <v>57</v>
      </c>
      <c r="I24" s="94"/>
      <c r="J24" s="94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5.75" customHeight="1" outlineLevel="1">
      <c r="A25" s="92" t="str">
        <f t="shared" si="3"/>
        <v/>
      </c>
      <c r="B25" s="89" t="s">
        <v>158</v>
      </c>
      <c r="C25" s="90"/>
      <c r="D25" s="90"/>
      <c r="E25" s="91"/>
      <c r="F25" s="90"/>
      <c r="G25" s="90"/>
      <c r="H25" s="91"/>
      <c r="I25" s="91"/>
      <c r="J25" s="91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63.0" customHeight="1" outlineLevel="2">
      <c r="A26" s="92" t="str">
        <f t="shared" si="3"/>
        <v>Categories-14</v>
      </c>
      <c r="B26" s="93" t="s">
        <v>159</v>
      </c>
      <c r="C26" s="93" t="s">
        <v>160</v>
      </c>
      <c r="D26" s="93" t="s">
        <v>270</v>
      </c>
      <c r="E26" s="69"/>
      <c r="F26" s="93" t="s">
        <v>271</v>
      </c>
      <c r="G26" s="69" t="s">
        <v>275</v>
      </c>
      <c r="H26" s="69" t="s">
        <v>57</v>
      </c>
      <c r="I26" s="94"/>
      <c r="J26" s="94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5.75" customHeight="1" outlineLevel="2">
      <c r="A27" s="92" t="str">
        <f t="shared" si="3"/>
        <v>Categories-15</v>
      </c>
      <c r="B27" s="95"/>
      <c r="C27" s="95"/>
      <c r="D27" s="96"/>
      <c r="E27" s="69"/>
      <c r="F27" s="96"/>
      <c r="G27" s="104" t="s">
        <v>276</v>
      </c>
      <c r="H27" s="69" t="s">
        <v>57</v>
      </c>
      <c r="I27" s="94"/>
      <c r="J27" s="94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5.75" customHeight="1" outlineLevel="2">
      <c r="A28" s="92" t="str">
        <f t="shared" si="3"/>
        <v>Categories-16</v>
      </c>
      <c r="B28" s="95"/>
      <c r="C28" s="95"/>
      <c r="D28" s="93" t="s">
        <v>272</v>
      </c>
      <c r="E28" s="69"/>
      <c r="F28" s="93" t="s">
        <v>271</v>
      </c>
      <c r="G28" s="69" t="s">
        <v>275</v>
      </c>
      <c r="H28" s="69" t="s">
        <v>57</v>
      </c>
      <c r="I28" s="94"/>
      <c r="J28" s="94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5.75" customHeight="1" outlineLevel="2">
      <c r="A29" s="92" t="str">
        <f t="shared" si="3"/>
        <v>Categories-17</v>
      </c>
      <c r="B29" s="95"/>
      <c r="C29" s="95"/>
      <c r="D29" s="96"/>
      <c r="E29" s="69"/>
      <c r="F29" s="96"/>
      <c r="G29" s="69" t="s">
        <v>277</v>
      </c>
      <c r="H29" s="69" t="s">
        <v>57</v>
      </c>
      <c r="I29" s="94"/>
      <c r="J29" s="94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63.0" customHeight="1" outlineLevel="2">
      <c r="A30" s="92" t="str">
        <f t="shared" si="3"/>
        <v>Categories-18</v>
      </c>
      <c r="B30" s="95"/>
      <c r="C30" s="96"/>
      <c r="D30" s="105" t="s">
        <v>273</v>
      </c>
      <c r="E30" s="69"/>
      <c r="F30" s="93" t="s">
        <v>271</v>
      </c>
      <c r="G30" s="69" t="s">
        <v>278</v>
      </c>
      <c r="H30" s="104" t="s">
        <v>81</v>
      </c>
      <c r="I30" s="106" t="s">
        <v>75</v>
      </c>
      <c r="J30" s="107" t="s">
        <v>279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5.75" customHeight="1" outlineLevel="2">
      <c r="A31" s="92" t="str">
        <f t="shared" si="3"/>
        <v>Categories-19</v>
      </c>
      <c r="B31" s="95"/>
      <c r="C31" s="96"/>
      <c r="D31" s="96"/>
      <c r="E31" s="69"/>
      <c r="F31" s="96"/>
      <c r="G31" s="69" t="s">
        <v>280</v>
      </c>
      <c r="H31" s="69" t="s">
        <v>57</v>
      </c>
      <c r="I31" s="94"/>
      <c r="J31" s="94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75" customHeight="1" outlineLevel="2">
      <c r="A32" s="92" t="str">
        <f t="shared" si="3"/>
        <v>Categories-20</v>
      </c>
      <c r="B32" s="96"/>
      <c r="C32" s="69" t="s">
        <v>164</v>
      </c>
      <c r="D32" s="102" t="s">
        <v>274</v>
      </c>
      <c r="E32" s="69"/>
      <c r="F32" s="93" t="s">
        <v>271</v>
      </c>
      <c r="G32" s="69" t="s">
        <v>278</v>
      </c>
      <c r="H32" s="69" t="s">
        <v>57</v>
      </c>
      <c r="I32" s="94"/>
      <c r="J32" s="94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75" customHeight="1" outlineLevel="2">
      <c r="A33" s="92" t="str">
        <f t="shared" si="3"/>
        <v>Categories-21</v>
      </c>
      <c r="B33" s="93" t="s">
        <v>165</v>
      </c>
      <c r="C33" s="93" t="s">
        <v>165</v>
      </c>
      <c r="D33" s="69" t="s">
        <v>281</v>
      </c>
      <c r="E33" s="69"/>
      <c r="F33" s="93" t="s">
        <v>282</v>
      </c>
      <c r="G33" s="69" t="s">
        <v>168</v>
      </c>
      <c r="H33" s="69" t="s">
        <v>57</v>
      </c>
      <c r="I33" s="94"/>
      <c r="J33" s="94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5.75" customHeight="1" outlineLevel="2">
      <c r="A34" s="92" t="str">
        <f t="shared" si="3"/>
        <v>Categories-22</v>
      </c>
      <c r="B34" s="95"/>
      <c r="C34" s="95"/>
      <c r="D34" s="69" t="s">
        <v>169</v>
      </c>
      <c r="E34" s="69"/>
      <c r="F34" s="93" t="s">
        <v>283</v>
      </c>
      <c r="G34" s="69" t="s">
        <v>171</v>
      </c>
      <c r="H34" s="69" t="s">
        <v>57</v>
      </c>
      <c r="I34" s="94"/>
      <c r="J34" s="94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customHeight="1" outlineLevel="2">
      <c r="A35" s="92" t="str">
        <f t="shared" si="3"/>
        <v>Categories-23</v>
      </c>
      <c r="B35" s="96"/>
      <c r="C35" s="96"/>
      <c r="D35" s="69" t="s">
        <v>172</v>
      </c>
      <c r="E35" s="69"/>
      <c r="F35" s="93" t="s">
        <v>284</v>
      </c>
      <c r="G35" s="69" t="s">
        <v>174</v>
      </c>
      <c r="H35" s="69" t="s">
        <v>57</v>
      </c>
      <c r="I35" s="94"/>
      <c r="J35" s="94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92" t="str">
        <f t="shared" si="3"/>
        <v/>
      </c>
      <c r="B36" s="86" t="s">
        <v>285</v>
      </c>
      <c r="C36" s="87"/>
      <c r="D36" s="87"/>
      <c r="E36" s="87"/>
      <c r="F36" s="87"/>
      <c r="G36" s="87"/>
      <c r="H36" s="69"/>
      <c r="I36" s="87"/>
      <c r="J36" s="8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customHeight="1" outlineLevel="1">
      <c r="A37" s="92" t="str">
        <f t="shared" si="3"/>
        <v/>
      </c>
      <c r="B37" s="89" t="s">
        <v>128</v>
      </c>
      <c r="C37" s="90"/>
      <c r="D37" s="90"/>
      <c r="E37" s="91"/>
      <c r="F37" s="90"/>
      <c r="G37" s="90"/>
      <c r="H37" s="91"/>
      <c r="I37" s="91"/>
      <c r="J37" s="91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customHeight="1" outlineLevel="2">
      <c r="A38" s="92" t="str">
        <f t="shared" si="3"/>
        <v>Categories-24</v>
      </c>
      <c r="B38" s="93" t="s">
        <v>129</v>
      </c>
      <c r="C38" s="93" t="s">
        <v>130</v>
      </c>
      <c r="D38" s="93" t="s">
        <v>130</v>
      </c>
      <c r="E38" s="94"/>
      <c r="F38" s="93" t="s">
        <v>286</v>
      </c>
      <c r="G38" s="69" t="s">
        <v>287</v>
      </c>
      <c r="H38" s="69" t="s">
        <v>57</v>
      </c>
      <c r="I38" s="94"/>
      <c r="J38" s="94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customHeight="1" outlineLevel="2">
      <c r="A39" s="92" t="str">
        <f t="shared" si="3"/>
        <v>Categories-25</v>
      </c>
      <c r="B39" s="95"/>
      <c r="C39" s="95"/>
      <c r="D39" s="95"/>
      <c r="E39" s="94"/>
      <c r="F39" s="95"/>
      <c r="G39" s="69" t="s">
        <v>133</v>
      </c>
      <c r="H39" s="69" t="s">
        <v>57</v>
      </c>
      <c r="I39" s="94"/>
      <c r="J39" s="94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customHeight="1" outlineLevel="2">
      <c r="A40" s="92" t="str">
        <f t="shared" si="3"/>
        <v>Categories-26</v>
      </c>
      <c r="B40" s="95"/>
      <c r="C40" s="95"/>
      <c r="D40" s="95"/>
      <c r="E40" s="94"/>
      <c r="F40" s="95"/>
      <c r="G40" s="69" t="s">
        <v>134</v>
      </c>
      <c r="H40" s="69" t="s">
        <v>57</v>
      </c>
      <c r="I40" s="94"/>
      <c r="J40" s="94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customHeight="1" outlineLevel="2">
      <c r="A41" s="92" t="str">
        <f t="shared" si="3"/>
        <v>Categories-27</v>
      </c>
      <c r="B41" s="95"/>
      <c r="C41" s="95"/>
      <c r="D41" s="95"/>
      <c r="E41" s="94"/>
      <c r="F41" s="95"/>
      <c r="G41" s="69" t="s">
        <v>135</v>
      </c>
      <c r="H41" s="69" t="s">
        <v>57</v>
      </c>
      <c r="I41" s="94"/>
      <c r="J41" s="9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customHeight="1" outlineLevel="2">
      <c r="A42" s="92" t="str">
        <f t="shared" si="3"/>
        <v>Categories-28</v>
      </c>
      <c r="B42" s="95"/>
      <c r="C42" s="96"/>
      <c r="D42" s="96"/>
      <c r="E42" s="94"/>
      <c r="F42" s="96"/>
      <c r="G42" s="69" t="s">
        <v>178</v>
      </c>
      <c r="H42" s="69" t="s">
        <v>57</v>
      </c>
      <c r="I42" s="94"/>
      <c r="J42" s="9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47.25" customHeight="1" outlineLevel="2">
      <c r="A43" s="92" t="str">
        <f t="shared" si="3"/>
        <v>Categories-29</v>
      </c>
      <c r="B43" s="95"/>
      <c r="C43" s="93" t="s">
        <v>180</v>
      </c>
      <c r="D43" s="93" t="s">
        <v>288</v>
      </c>
      <c r="E43" s="94"/>
      <c r="F43" s="93" t="s">
        <v>289</v>
      </c>
      <c r="G43" s="69" t="s">
        <v>290</v>
      </c>
      <c r="H43" s="69" t="s">
        <v>57</v>
      </c>
      <c r="I43" s="94"/>
      <c r="J43" s="94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 outlineLevel="2">
      <c r="A44" s="92" t="str">
        <f t="shared" si="3"/>
        <v>Categories-30</v>
      </c>
      <c r="B44" s="95"/>
      <c r="C44" s="95"/>
      <c r="D44" s="96"/>
      <c r="E44" s="98"/>
      <c r="F44" s="96"/>
      <c r="G44" s="99" t="s">
        <v>291</v>
      </c>
      <c r="H44" s="69" t="s">
        <v>57</v>
      </c>
      <c r="I44" s="94"/>
      <c r="J44" s="94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customHeight="1" outlineLevel="2">
      <c r="A45" s="92" t="str">
        <f t="shared" si="3"/>
        <v>Categories-31</v>
      </c>
      <c r="B45" s="96"/>
      <c r="C45" s="96"/>
      <c r="D45" s="96" t="s">
        <v>292</v>
      </c>
      <c r="E45" s="98"/>
      <c r="F45" s="93" t="s">
        <v>293</v>
      </c>
      <c r="G45" s="99" t="s">
        <v>294</v>
      </c>
      <c r="H45" s="69" t="s">
        <v>57</v>
      </c>
      <c r="I45" s="94"/>
      <c r="J45" s="94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customHeight="1" outlineLevel="1">
      <c r="A46" s="92" t="str">
        <f t="shared" si="3"/>
        <v/>
      </c>
      <c r="B46" s="89" t="s">
        <v>149</v>
      </c>
      <c r="C46" s="90"/>
      <c r="D46" s="90"/>
      <c r="E46" s="91"/>
      <c r="F46" s="90"/>
      <c r="G46" s="90"/>
      <c r="H46" s="91"/>
      <c r="I46" s="91"/>
      <c r="J46" s="91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customHeight="1" outlineLevel="2">
      <c r="A47" s="92" t="str">
        <f t="shared" si="3"/>
        <v>Categories-32</v>
      </c>
      <c r="B47" s="93" t="s">
        <v>295</v>
      </c>
      <c r="C47" s="93" t="s">
        <v>296</v>
      </c>
      <c r="D47" s="99" t="s">
        <v>297</v>
      </c>
      <c r="E47" s="99"/>
      <c r="F47" s="69" t="s">
        <v>298</v>
      </c>
      <c r="G47" s="99" t="s">
        <v>299</v>
      </c>
      <c r="H47" s="69" t="s">
        <v>57</v>
      </c>
      <c r="I47" s="94"/>
      <c r="J47" s="94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customHeight="1" outlineLevel="2">
      <c r="A48" s="92" t="str">
        <f t="shared" si="3"/>
        <v>Categories-33</v>
      </c>
      <c r="B48" s="95"/>
      <c r="C48" s="96"/>
      <c r="D48" s="99" t="s">
        <v>300</v>
      </c>
      <c r="E48" s="99"/>
      <c r="F48" s="69" t="s">
        <v>298</v>
      </c>
      <c r="G48" s="99" t="s">
        <v>299</v>
      </c>
      <c r="H48" s="69" t="s">
        <v>57</v>
      </c>
      <c r="I48" s="94"/>
      <c r="J48" s="94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customHeight="1" outlineLevel="2">
      <c r="A49" s="92" t="str">
        <f t="shared" si="3"/>
        <v>Categories-34</v>
      </c>
      <c r="B49" s="95"/>
      <c r="C49" s="93" t="s">
        <v>301</v>
      </c>
      <c r="D49" s="99" t="s">
        <v>192</v>
      </c>
      <c r="E49" s="99"/>
      <c r="F49" s="69" t="s">
        <v>298</v>
      </c>
      <c r="G49" s="99" t="s">
        <v>302</v>
      </c>
      <c r="H49" s="69" t="s">
        <v>57</v>
      </c>
      <c r="I49" s="94"/>
      <c r="J49" s="94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customHeight="1" outlineLevel="2">
      <c r="A50" s="92" t="str">
        <f t="shared" si="3"/>
        <v>Categories-35</v>
      </c>
      <c r="B50" s="95"/>
      <c r="C50" s="95"/>
      <c r="D50" s="99" t="s">
        <v>194</v>
      </c>
      <c r="E50" s="99"/>
      <c r="F50" s="69" t="s">
        <v>298</v>
      </c>
      <c r="G50" s="99" t="s">
        <v>303</v>
      </c>
      <c r="H50" s="69" t="s">
        <v>57</v>
      </c>
      <c r="I50" s="94"/>
      <c r="J50" s="94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customHeight="1" outlineLevel="2">
      <c r="A51" s="92" t="str">
        <f t="shared" si="3"/>
        <v>Categories-36</v>
      </c>
      <c r="B51" s="95"/>
      <c r="C51" s="95"/>
      <c r="D51" s="69" t="s">
        <v>197</v>
      </c>
      <c r="E51" s="69"/>
      <c r="F51" s="69" t="s">
        <v>298</v>
      </c>
      <c r="G51" s="99" t="s">
        <v>302</v>
      </c>
      <c r="H51" s="69" t="s">
        <v>57</v>
      </c>
      <c r="I51" s="94"/>
      <c r="J51" s="94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customHeight="1" outlineLevel="2">
      <c r="A52" s="92" t="str">
        <f t="shared" si="3"/>
        <v>Categories-37</v>
      </c>
      <c r="B52" s="95"/>
      <c r="C52" s="95"/>
      <c r="D52" s="99" t="s">
        <v>304</v>
      </c>
      <c r="E52" s="69"/>
      <c r="F52" s="69" t="s">
        <v>298</v>
      </c>
      <c r="G52" s="69" t="s">
        <v>305</v>
      </c>
      <c r="H52" s="69" t="s">
        <v>57</v>
      </c>
      <c r="I52" s="94"/>
      <c r="J52" s="94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customHeight="1" outlineLevel="2">
      <c r="A53" s="92" t="str">
        <f t="shared" si="3"/>
        <v>Categories-38</v>
      </c>
      <c r="B53" s="95"/>
      <c r="C53" s="95"/>
      <c r="D53" s="69" t="s">
        <v>200</v>
      </c>
      <c r="E53" s="69"/>
      <c r="F53" s="69" t="s">
        <v>298</v>
      </c>
      <c r="G53" s="69" t="s">
        <v>305</v>
      </c>
      <c r="H53" s="69" t="s">
        <v>57</v>
      </c>
      <c r="I53" s="94"/>
      <c r="J53" s="94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customHeight="1" outlineLevel="2">
      <c r="A54" s="92" t="str">
        <f t="shared" si="3"/>
        <v>Categories-39</v>
      </c>
      <c r="B54" s="96"/>
      <c r="C54" s="96"/>
      <c r="D54" s="69" t="s">
        <v>201</v>
      </c>
      <c r="E54" s="69"/>
      <c r="F54" s="69" t="s">
        <v>298</v>
      </c>
      <c r="G54" s="69" t="s">
        <v>305</v>
      </c>
      <c r="H54" s="69" t="s">
        <v>57</v>
      </c>
      <c r="I54" s="94"/>
      <c r="J54" s="94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customHeight="1" outlineLevel="2">
      <c r="A55" s="92" t="str">
        <f t="shared" si="3"/>
        <v>Categories-40</v>
      </c>
      <c r="B55" s="93" t="s">
        <v>306</v>
      </c>
      <c r="C55" s="93" t="s">
        <v>307</v>
      </c>
      <c r="D55" s="69" t="s">
        <v>308</v>
      </c>
      <c r="E55" s="69"/>
      <c r="F55" s="69" t="s">
        <v>298</v>
      </c>
      <c r="G55" s="69" t="s">
        <v>309</v>
      </c>
      <c r="H55" s="69" t="s">
        <v>57</v>
      </c>
      <c r="I55" s="94"/>
      <c r="J55" s="94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customHeight="1" outlineLevel="2">
      <c r="A56" s="92" t="str">
        <f t="shared" si="3"/>
        <v>Categories-41</v>
      </c>
      <c r="B56" s="95"/>
      <c r="C56" s="96"/>
      <c r="D56" s="69" t="s">
        <v>310</v>
      </c>
      <c r="E56" s="69"/>
      <c r="F56" s="69" t="s">
        <v>298</v>
      </c>
      <c r="G56" s="69" t="s">
        <v>309</v>
      </c>
      <c r="H56" s="69" t="s">
        <v>57</v>
      </c>
      <c r="I56" s="94"/>
      <c r="J56" s="94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customHeight="1" outlineLevel="2">
      <c r="A57" s="92" t="str">
        <f t="shared" si="3"/>
        <v>Categories-42</v>
      </c>
      <c r="B57" s="96"/>
      <c r="C57" s="96" t="s">
        <v>311</v>
      </c>
      <c r="D57" s="69" t="s">
        <v>312</v>
      </c>
      <c r="E57" s="69"/>
      <c r="F57" s="69" t="s">
        <v>298</v>
      </c>
      <c r="G57" s="69" t="s">
        <v>313</v>
      </c>
      <c r="H57" s="69" t="s">
        <v>57</v>
      </c>
      <c r="I57" s="94"/>
      <c r="J57" s="94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customHeight="1" outlineLevel="2">
      <c r="A58" s="92" t="str">
        <f t="shared" si="3"/>
        <v>Categories-43</v>
      </c>
      <c r="B58" s="93" t="s">
        <v>314</v>
      </c>
      <c r="C58" s="93" t="s">
        <v>315</v>
      </c>
      <c r="D58" s="69" t="s">
        <v>316</v>
      </c>
      <c r="E58" s="69"/>
      <c r="F58" s="69" t="s">
        <v>298</v>
      </c>
      <c r="G58" s="69" t="s">
        <v>317</v>
      </c>
      <c r="H58" s="69" t="s">
        <v>57</v>
      </c>
      <c r="I58" s="94"/>
      <c r="J58" s="94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customHeight="1" outlineLevel="2">
      <c r="A59" s="92" t="str">
        <f t="shared" si="3"/>
        <v>Categories-44</v>
      </c>
      <c r="B59" s="95"/>
      <c r="C59" s="96"/>
      <c r="D59" s="69" t="s">
        <v>318</v>
      </c>
      <c r="E59" s="69"/>
      <c r="F59" s="69" t="s">
        <v>298</v>
      </c>
      <c r="G59" s="69" t="s">
        <v>317</v>
      </c>
      <c r="H59" s="69" t="s">
        <v>57</v>
      </c>
      <c r="I59" s="94"/>
      <c r="J59" s="94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customHeight="1" outlineLevel="2">
      <c r="A60" s="92" t="str">
        <f t="shared" si="3"/>
        <v>Categories-45</v>
      </c>
      <c r="B60" s="95"/>
      <c r="C60" s="96" t="s">
        <v>319</v>
      </c>
      <c r="D60" s="96" t="s">
        <v>319</v>
      </c>
      <c r="E60" s="69"/>
      <c r="F60" s="69" t="s">
        <v>320</v>
      </c>
      <c r="G60" s="69" t="s">
        <v>321</v>
      </c>
      <c r="H60" s="69" t="s">
        <v>57</v>
      </c>
      <c r="I60" s="94"/>
      <c r="J60" s="94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customHeight="1" outlineLevel="2">
      <c r="A61" s="92" t="str">
        <f t="shared" si="3"/>
        <v>Categories-46</v>
      </c>
      <c r="B61" s="95"/>
      <c r="C61" s="93" t="s">
        <v>322</v>
      </c>
      <c r="D61" s="69" t="s">
        <v>323</v>
      </c>
      <c r="E61" s="69"/>
      <c r="F61" s="69" t="s">
        <v>298</v>
      </c>
      <c r="G61" s="69" t="s">
        <v>324</v>
      </c>
      <c r="H61" s="69" t="s">
        <v>57</v>
      </c>
      <c r="I61" s="94"/>
      <c r="J61" s="94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customHeight="1" outlineLevel="2">
      <c r="A62" s="92" t="str">
        <f t="shared" si="3"/>
        <v>Categories-47</v>
      </c>
      <c r="B62" s="96"/>
      <c r="C62" s="96"/>
      <c r="D62" s="69" t="s">
        <v>325</v>
      </c>
      <c r="E62" s="69"/>
      <c r="F62" s="69" t="s">
        <v>298</v>
      </c>
      <c r="G62" s="69" t="s">
        <v>326</v>
      </c>
      <c r="H62" s="69" t="s">
        <v>57</v>
      </c>
      <c r="I62" s="94"/>
      <c r="J62" s="94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customHeight="1" outlineLevel="2">
      <c r="A63" s="92" t="str">
        <f t="shared" si="3"/>
        <v>Categories-48</v>
      </c>
      <c r="B63" s="93" t="s">
        <v>327</v>
      </c>
      <c r="C63" s="93" t="s">
        <v>328</v>
      </c>
      <c r="D63" s="69" t="s">
        <v>329</v>
      </c>
      <c r="E63" s="69"/>
      <c r="F63" s="69" t="s">
        <v>330</v>
      </c>
      <c r="G63" s="69" t="s">
        <v>331</v>
      </c>
      <c r="H63" s="69" t="s">
        <v>57</v>
      </c>
      <c r="I63" s="94"/>
      <c r="J63" s="94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customHeight="1" outlineLevel="2">
      <c r="A64" s="92" t="str">
        <f t="shared" si="3"/>
        <v>Categories-49</v>
      </c>
      <c r="B64" s="96"/>
      <c r="C64" s="96"/>
      <c r="D64" s="69" t="s">
        <v>332</v>
      </c>
      <c r="E64" s="69"/>
      <c r="F64" s="69" t="s">
        <v>333</v>
      </c>
      <c r="G64" s="69" t="s">
        <v>334</v>
      </c>
      <c r="H64" s="69" t="s">
        <v>57</v>
      </c>
      <c r="I64" s="94"/>
      <c r="J64" s="94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customHeight="1" outlineLevel="1">
      <c r="A65" s="92" t="str">
        <f t="shared" si="3"/>
        <v/>
      </c>
      <c r="B65" s="89" t="s">
        <v>158</v>
      </c>
      <c r="C65" s="90"/>
      <c r="D65" s="90"/>
      <c r="E65" s="91"/>
      <c r="F65" s="90"/>
      <c r="G65" s="90"/>
      <c r="H65" s="91"/>
      <c r="I65" s="91"/>
      <c r="J65" s="91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47.25" customHeight="1" outlineLevel="2">
      <c r="A66" s="92" t="str">
        <f t="shared" si="3"/>
        <v>Categories-50</v>
      </c>
      <c r="B66" s="93" t="s">
        <v>202</v>
      </c>
      <c r="C66" s="93" t="s">
        <v>203</v>
      </c>
      <c r="D66" s="93" t="s">
        <v>203</v>
      </c>
      <c r="E66" s="69"/>
      <c r="F66" s="93" t="s">
        <v>335</v>
      </c>
      <c r="G66" s="69" t="s">
        <v>336</v>
      </c>
      <c r="H66" s="69" t="s">
        <v>57</v>
      </c>
      <c r="I66" s="94"/>
      <c r="J66" s="94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customHeight="1" outlineLevel="2">
      <c r="A67" s="92" t="str">
        <f t="shared" si="3"/>
        <v>Categories-51</v>
      </c>
      <c r="B67" s="95"/>
      <c r="C67" s="95"/>
      <c r="D67" s="95"/>
      <c r="E67" s="69"/>
      <c r="F67" s="95"/>
      <c r="G67" s="69" t="s">
        <v>206</v>
      </c>
      <c r="H67" s="69" t="s">
        <v>57</v>
      </c>
      <c r="I67" s="94"/>
      <c r="J67" s="94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customHeight="1" outlineLevel="2">
      <c r="A68" s="92" t="str">
        <f t="shared" si="3"/>
        <v>Categories-52</v>
      </c>
      <c r="B68" s="95"/>
      <c r="C68" s="95"/>
      <c r="D68" s="95"/>
      <c r="E68" s="69"/>
      <c r="F68" s="95"/>
      <c r="G68" s="69" t="s">
        <v>207</v>
      </c>
      <c r="H68" s="69" t="s">
        <v>57</v>
      </c>
      <c r="I68" s="94"/>
      <c r="J68" s="94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customHeight="1" outlineLevel="2">
      <c r="A69" s="92" t="str">
        <f t="shared" si="3"/>
        <v>Categories-53</v>
      </c>
      <c r="B69" s="95"/>
      <c r="C69" s="95"/>
      <c r="D69" s="95"/>
      <c r="E69" s="69"/>
      <c r="F69" s="96"/>
      <c r="G69" s="69" t="s">
        <v>337</v>
      </c>
      <c r="H69" s="69" t="s">
        <v>57</v>
      </c>
      <c r="I69" s="94"/>
      <c r="J69" s="94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customHeight="1" outlineLevel="2">
      <c r="A70" s="92" t="str">
        <f t="shared" si="3"/>
        <v>Categories-54</v>
      </c>
      <c r="B70" s="96"/>
      <c r="C70" s="96"/>
      <c r="D70" s="96"/>
      <c r="E70" s="69"/>
      <c r="F70" s="69" t="s">
        <v>209</v>
      </c>
      <c r="G70" s="69" t="s">
        <v>338</v>
      </c>
      <c r="H70" s="69" t="s">
        <v>57</v>
      </c>
      <c r="I70" s="94"/>
      <c r="J70" s="94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customHeight="1" outlineLevel="2">
      <c r="A71" s="92" t="str">
        <f t="shared" si="3"/>
        <v>Categories-55</v>
      </c>
      <c r="B71" s="93" t="s">
        <v>211</v>
      </c>
      <c r="C71" s="93" t="s">
        <v>339</v>
      </c>
      <c r="D71" s="93" t="s">
        <v>339</v>
      </c>
      <c r="E71" s="69"/>
      <c r="F71" s="93" t="s">
        <v>340</v>
      </c>
      <c r="G71" s="69" t="s">
        <v>341</v>
      </c>
      <c r="H71" s="69" t="s">
        <v>57</v>
      </c>
      <c r="I71" s="94"/>
      <c r="J71" s="94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customHeight="1" outlineLevel="2">
      <c r="A72" s="92" t="str">
        <f t="shared" si="3"/>
        <v>Categories-56</v>
      </c>
      <c r="B72" s="95"/>
      <c r="C72" s="95"/>
      <c r="D72" s="95"/>
      <c r="E72" s="69"/>
      <c r="F72" s="93" t="s">
        <v>215</v>
      </c>
      <c r="G72" s="69" t="s">
        <v>216</v>
      </c>
      <c r="H72" s="69" t="s">
        <v>57</v>
      </c>
      <c r="I72" s="94"/>
      <c r="J72" s="94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customHeight="1" outlineLevel="2">
      <c r="A73" s="92" t="str">
        <f t="shared" si="3"/>
        <v>Categories-57</v>
      </c>
      <c r="B73" s="95"/>
      <c r="C73" s="96"/>
      <c r="D73" s="96"/>
      <c r="E73" s="69"/>
      <c r="F73" s="93" t="s">
        <v>217</v>
      </c>
      <c r="G73" s="69" t="s">
        <v>342</v>
      </c>
      <c r="H73" s="69" t="s">
        <v>57</v>
      </c>
      <c r="I73" s="94"/>
      <c r="J73" s="94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customHeight="1" outlineLevel="2">
      <c r="A74" s="92" t="str">
        <f t="shared" si="3"/>
        <v>Categories-58</v>
      </c>
      <c r="B74" s="96"/>
      <c r="C74" s="69" t="s">
        <v>343</v>
      </c>
      <c r="D74" s="69" t="s">
        <v>343</v>
      </c>
      <c r="E74" s="69"/>
      <c r="F74" s="93" t="s">
        <v>344</v>
      </c>
      <c r="G74" s="69" t="s">
        <v>206</v>
      </c>
      <c r="H74" s="69" t="s">
        <v>57</v>
      </c>
      <c r="I74" s="94"/>
      <c r="J74" s="94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customHeight="1">
      <c r="A75" s="85"/>
      <c r="B75" s="86" t="s">
        <v>345</v>
      </c>
      <c r="C75" s="87"/>
      <c r="D75" s="87"/>
      <c r="E75" s="87"/>
      <c r="F75" s="87"/>
      <c r="G75" s="87"/>
      <c r="H75" s="87"/>
      <c r="I75" s="87"/>
      <c r="J75" s="8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customHeight="1" outlineLevel="1">
      <c r="A76" s="88"/>
      <c r="B76" s="89" t="s">
        <v>128</v>
      </c>
      <c r="C76" s="90"/>
      <c r="D76" s="90"/>
      <c r="E76" s="91"/>
      <c r="F76" s="90"/>
      <c r="G76" s="90"/>
      <c r="H76" s="91"/>
      <c r="I76" s="91"/>
      <c r="J76" s="91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customHeight="1" outlineLevel="2">
      <c r="A77" s="92" t="str">
        <f t="shared" ref="A77:A109" si="4">IF(G77="","",$C$2&amp;"-"&amp;SUBTOTAL(3,$G$10:G77))</f>
        <v>Categories-59</v>
      </c>
      <c r="B77" s="93" t="s">
        <v>129</v>
      </c>
      <c r="C77" s="93" t="s">
        <v>130</v>
      </c>
      <c r="D77" s="93" t="s">
        <v>130</v>
      </c>
      <c r="E77" s="94"/>
      <c r="F77" s="93" t="s">
        <v>346</v>
      </c>
      <c r="G77" s="69" t="s">
        <v>347</v>
      </c>
      <c r="H77" s="69" t="s">
        <v>57</v>
      </c>
      <c r="I77" s="94"/>
      <c r="J77" s="94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customHeight="1" outlineLevel="2">
      <c r="A78" s="92" t="str">
        <f t="shared" si="4"/>
        <v>Categories-60</v>
      </c>
      <c r="B78" s="95"/>
      <c r="C78" s="95"/>
      <c r="D78" s="95"/>
      <c r="E78" s="94"/>
      <c r="F78" s="95"/>
      <c r="G78" s="69" t="s">
        <v>133</v>
      </c>
      <c r="H78" s="69" t="s">
        <v>57</v>
      </c>
      <c r="I78" s="94"/>
      <c r="J78" s="94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customHeight="1" outlineLevel="2">
      <c r="A79" s="92" t="str">
        <f t="shared" si="4"/>
        <v>Categories-61</v>
      </c>
      <c r="B79" s="95"/>
      <c r="C79" s="95"/>
      <c r="D79" s="95"/>
      <c r="E79" s="94"/>
      <c r="F79" s="95"/>
      <c r="G79" s="69" t="s">
        <v>134</v>
      </c>
      <c r="H79" s="69" t="s">
        <v>57</v>
      </c>
      <c r="I79" s="94"/>
      <c r="J79" s="94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customHeight="1" outlineLevel="2">
      <c r="A80" s="92" t="str">
        <f t="shared" si="4"/>
        <v>Categories-62</v>
      </c>
      <c r="B80" s="95"/>
      <c r="C80" s="95"/>
      <c r="D80" s="95"/>
      <c r="E80" s="94"/>
      <c r="F80" s="95"/>
      <c r="G80" s="69" t="s">
        <v>135</v>
      </c>
      <c r="H80" s="69" t="s">
        <v>57</v>
      </c>
      <c r="I80" s="94"/>
      <c r="J80" s="9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customHeight="1" outlineLevel="2">
      <c r="A81" s="92" t="str">
        <f t="shared" si="4"/>
        <v>Categories-63</v>
      </c>
      <c r="B81" s="95"/>
      <c r="C81" s="96"/>
      <c r="D81" s="96"/>
      <c r="E81" s="94"/>
      <c r="F81" s="96"/>
      <c r="G81" s="69" t="s">
        <v>178</v>
      </c>
      <c r="H81" s="69" t="s">
        <v>57</v>
      </c>
      <c r="I81" s="94"/>
      <c r="J81" s="94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customHeight="1" outlineLevel="2">
      <c r="A82" s="92" t="str">
        <f t="shared" si="4"/>
        <v>Categories-64</v>
      </c>
      <c r="B82" s="95"/>
      <c r="C82" s="93" t="s">
        <v>180</v>
      </c>
      <c r="D82" s="93" t="s">
        <v>288</v>
      </c>
      <c r="E82" s="94"/>
      <c r="F82" s="69" t="s">
        <v>348</v>
      </c>
      <c r="G82" s="69" t="s">
        <v>349</v>
      </c>
      <c r="H82" s="69" t="s">
        <v>57</v>
      </c>
      <c r="I82" s="94"/>
      <c r="J82" s="94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customHeight="1" outlineLevel="1">
      <c r="A83" s="92" t="str">
        <f t="shared" si="4"/>
        <v/>
      </c>
      <c r="B83" s="89" t="s">
        <v>149</v>
      </c>
      <c r="C83" s="90"/>
      <c r="D83" s="90"/>
      <c r="E83" s="91"/>
      <c r="F83" s="90"/>
      <c r="G83" s="90"/>
      <c r="H83" s="91"/>
      <c r="I83" s="91"/>
      <c r="J83" s="91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customHeight="1" outlineLevel="2">
      <c r="A84" s="92" t="str">
        <f t="shared" si="4"/>
        <v>Categories-65</v>
      </c>
      <c r="B84" s="93" t="s">
        <v>295</v>
      </c>
      <c r="C84" s="93" t="s">
        <v>296</v>
      </c>
      <c r="D84" s="99" t="s">
        <v>187</v>
      </c>
      <c r="E84" s="99"/>
      <c r="F84" s="69" t="s">
        <v>298</v>
      </c>
      <c r="G84" s="99" t="s">
        <v>299</v>
      </c>
      <c r="H84" s="69" t="s">
        <v>57</v>
      </c>
      <c r="I84" s="94"/>
      <c r="J84" s="94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customHeight="1" outlineLevel="2">
      <c r="A85" s="92" t="str">
        <f t="shared" si="4"/>
        <v>Categories-66</v>
      </c>
      <c r="B85" s="95"/>
      <c r="C85" s="96"/>
      <c r="D85" s="99" t="s">
        <v>190</v>
      </c>
      <c r="E85" s="99"/>
      <c r="F85" s="69" t="s">
        <v>298</v>
      </c>
      <c r="G85" s="99" t="s">
        <v>299</v>
      </c>
      <c r="H85" s="69" t="s">
        <v>57</v>
      </c>
      <c r="I85" s="94"/>
      <c r="J85" s="94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customHeight="1" outlineLevel="2">
      <c r="A86" s="92" t="str">
        <f t="shared" si="4"/>
        <v>Categories-67</v>
      </c>
      <c r="B86" s="95"/>
      <c r="C86" s="93" t="s">
        <v>301</v>
      </c>
      <c r="D86" s="99" t="s">
        <v>192</v>
      </c>
      <c r="E86" s="99"/>
      <c r="F86" s="69" t="s">
        <v>298</v>
      </c>
      <c r="G86" s="99" t="s">
        <v>302</v>
      </c>
      <c r="H86" s="69" t="s">
        <v>57</v>
      </c>
      <c r="I86" s="94"/>
      <c r="J86" s="94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customHeight="1" outlineLevel="2">
      <c r="A87" s="92" t="str">
        <f t="shared" si="4"/>
        <v>Categories-68</v>
      </c>
      <c r="B87" s="95"/>
      <c r="C87" s="95"/>
      <c r="D87" s="99" t="s">
        <v>194</v>
      </c>
      <c r="E87" s="99"/>
      <c r="F87" s="69" t="s">
        <v>298</v>
      </c>
      <c r="G87" s="99" t="s">
        <v>303</v>
      </c>
      <c r="H87" s="69" t="s">
        <v>57</v>
      </c>
      <c r="I87" s="94"/>
      <c r="J87" s="94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customHeight="1" outlineLevel="2">
      <c r="A88" s="92" t="str">
        <f t="shared" si="4"/>
        <v>Categories-69</v>
      </c>
      <c r="B88" s="95"/>
      <c r="C88" s="95"/>
      <c r="D88" s="69" t="s">
        <v>197</v>
      </c>
      <c r="E88" s="69"/>
      <c r="F88" s="69" t="s">
        <v>298</v>
      </c>
      <c r="G88" s="99" t="s">
        <v>302</v>
      </c>
      <c r="H88" s="69" t="s">
        <v>57</v>
      </c>
      <c r="I88" s="94"/>
      <c r="J88" s="94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customHeight="1" outlineLevel="2">
      <c r="A89" s="92" t="str">
        <f t="shared" si="4"/>
        <v>Categories-70</v>
      </c>
      <c r="B89" s="95"/>
      <c r="C89" s="95"/>
      <c r="D89" s="69" t="s">
        <v>198</v>
      </c>
      <c r="E89" s="69"/>
      <c r="F89" s="69" t="s">
        <v>298</v>
      </c>
      <c r="G89" s="69" t="s">
        <v>305</v>
      </c>
      <c r="H89" s="69" t="s">
        <v>57</v>
      </c>
      <c r="I89" s="94"/>
      <c r="J89" s="94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customHeight="1" outlineLevel="2">
      <c r="A90" s="92" t="str">
        <f t="shared" si="4"/>
        <v>Categories-71</v>
      </c>
      <c r="B90" s="95"/>
      <c r="C90" s="95"/>
      <c r="D90" s="69" t="s">
        <v>200</v>
      </c>
      <c r="E90" s="69"/>
      <c r="F90" s="69" t="s">
        <v>298</v>
      </c>
      <c r="G90" s="69" t="s">
        <v>305</v>
      </c>
      <c r="H90" s="69" t="s">
        <v>57</v>
      </c>
      <c r="I90" s="94"/>
      <c r="J90" s="94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customHeight="1" outlineLevel="2">
      <c r="A91" s="92" t="str">
        <f t="shared" si="4"/>
        <v>Categories-72</v>
      </c>
      <c r="B91" s="96"/>
      <c r="C91" s="96"/>
      <c r="D91" s="69" t="s">
        <v>201</v>
      </c>
      <c r="E91" s="69"/>
      <c r="F91" s="69" t="s">
        <v>298</v>
      </c>
      <c r="G91" s="69" t="s">
        <v>305</v>
      </c>
      <c r="H91" s="69" t="s">
        <v>57</v>
      </c>
      <c r="I91" s="94"/>
      <c r="J91" s="94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customHeight="1" outlineLevel="2">
      <c r="A92" s="92" t="str">
        <f t="shared" si="4"/>
        <v>Categories-73</v>
      </c>
      <c r="B92" s="93" t="s">
        <v>306</v>
      </c>
      <c r="C92" s="93" t="s">
        <v>307</v>
      </c>
      <c r="D92" s="69" t="s">
        <v>308</v>
      </c>
      <c r="E92" s="69"/>
      <c r="F92" s="69" t="s">
        <v>298</v>
      </c>
      <c r="G92" s="69" t="s">
        <v>309</v>
      </c>
      <c r="H92" s="69" t="s">
        <v>57</v>
      </c>
      <c r="I92" s="94"/>
      <c r="J92" s="94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customHeight="1" outlineLevel="2">
      <c r="A93" s="92" t="str">
        <f t="shared" si="4"/>
        <v>Categories-74</v>
      </c>
      <c r="B93" s="95"/>
      <c r="C93" s="96"/>
      <c r="D93" s="69" t="s">
        <v>310</v>
      </c>
      <c r="E93" s="69"/>
      <c r="F93" s="69" t="s">
        <v>298</v>
      </c>
      <c r="G93" s="69" t="s">
        <v>309</v>
      </c>
      <c r="H93" s="69" t="s">
        <v>57</v>
      </c>
      <c r="I93" s="94"/>
      <c r="J93" s="94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 outlineLevel="2">
      <c r="A94" s="92" t="str">
        <f t="shared" si="4"/>
        <v>Categories-75</v>
      </c>
      <c r="B94" s="96"/>
      <c r="C94" s="96" t="s">
        <v>311</v>
      </c>
      <c r="D94" s="69" t="s">
        <v>312</v>
      </c>
      <c r="E94" s="69"/>
      <c r="F94" s="69" t="s">
        <v>298</v>
      </c>
      <c r="G94" s="69" t="s">
        <v>313</v>
      </c>
      <c r="H94" s="69" t="s">
        <v>57</v>
      </c>
      <c r="I94" s="94"/>
      <c r="J94" s="94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customHeight="1" outlineLevel="2">
      <c r="A95" s="92" t="str">
        <f t="shared" si="4"/>
        <v>Categories-76</v>
      </c>
      <c r="B95" s="93" t="s">
        <v>314</v>
      </c>
      <c r="C95" s="93" t="s">
        <v>315</v>
      </c>
      <c r="D95" s="69" t="s">
        <v>316</v>
      </c>
      <c r="E95" s="69"/>
      <c r="F95" s="69" t="s">
        <v>298</v>
      </c>
      <c r="G95" s="69" t="s">
        <v>317</v>
      </c>
      <c r="H95" s="69" t="s">
        <v>57</v>
      </c>
      <c r="I95" s="94"/>
      <c r="J95" s="94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customHeight="1" outlineLevel="2">
      <c r="A96" s="92" t="str">
        <f t="shared" si="4"/>
        <v>Categories-77</v>
      </c>
      <c r="B96" s="95"/>
      <c r="C96" s="96"/>
      <c r="D96" s="69" t="s">
        <v>318</v>
      </c>
      <c r="E96" s="69"/>
      <c r="F96" s="69" t="s">
        <v>298</v>
      </c>
      <c r="G96" s="69" t="s">
        <v>317</v>
      </c>
      <c r="H96" s="69" t="s">
        <v>57</v>
      </c>
      <c r="I96" s="94"/>
      <c r="J96" s="94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customHeight="1" outlineLevel="2">
      <c r="A97" s="92" t="str">
        <f t="shared" si="4"/>
        <v>Categories-78</v>
      </c>
      <c r="B97" s="95"/>
      <c r="C97" s="93" t="s">
        <v>322</v>
      </c>
      <c r="D97" s="69" t="s">
        <v>323</v>
      </c>
      <c r="E97" s="69"/>
      <c r="F97" s="69" t="s">
        <v>298</v>
      </c>
      <c r="G97" s="69" t="s">
        <v>324</v>
      </c>
      <c r="H97" s="69" t="s">
        <v>57</v>
      </c>
      <c r="I97" s="94"/>
      <c r="J97" s="94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customHeight="1" outlineLevel="2">
      <c r="A98" s="92" t="str">
        <f t="shared" si="4"/>
        <v>Categories-79</v>
      </c>
      <c r="B98" s="95"/>
      <c r="C98" s="96"/>
      <c r="D98" s="69" t="s">
        <v>325</v>
      </c>
      <c r="E98" s="69"/>
      <c r="F98" s="69" t="s">
        <v>298</v>
      </c>
      <c r="G98" s="69" t="s">
        <v>326</v>
      </c>
      <c r="H98" s="69" t="s">
        <v>57</v>
      </c>
      <c r="I98" s="94"/>
      <c r="J98" s="94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customHeight="1" outlineLevel="2">
      <c r="A99" s="92" t="str">
        <f t="shared" si="4"/>
        <v>Categories-80</v>
      </c>
      <c r="B99" s="96"/>
      <c r="C99" s="95" t="s">
        <v>319</v>
      </c>
      <c r="D99" s="69" t="s">
        <v>350</v>
      </c>
      <c r="E99" s="69"/>
      <c r="F99" s="69" t="s">
        <v>298</v>
      </c>
      <c r="G99" s="69" t="s">
        <v>321</v>
      </c>
      <c r="H99" s="69" t="s">
        <v>57</v>
      </c>
      <c r="I99" s="94"/>
      <c r="J99" s="94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customHeight="1" outlineLevel="2">
      <c r="A100" s="92" t="str">
        <f t="shared" si="4"/>
        <v>Categories-81</v>
      </c>
      <c r="B100" s="93" t="s">
        <v>327</v>
      </c>
      <c r="C100" s="93" t="s">
        <v>328</v>
      </c>
      <c r="D100" s="69" t="s">
        <v>329</v>
      </c>
      <c r="E100" s="69"/>
      <c r="F100" s="69" t="s">
        <v>330</v>
      </c>
      <c r="G100" s="69" t="s">
        <v>331</v>
      </c>
      <c r="H100" s="69" t="s">
        <v>57</v>
      </c>
      <c r="I100" s="94"/>
      <c r="J100" s="94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customHeight="1" outlineLevel="2">
      <c r="A101" s="92" t="str">
        <f t="shared" si="4"/>
        <v>Categories-82</v>
      </c>
      <c r="B101" s="96"/>
      <c r="C101" s="96"/>
      <c r="D101" s="69" t="s">
        <v>332</v>
      </c>
      <c r="E101" s="69"/>
      <c r="F101" s="69" t="s">
        <v>333</v>
      </c>
      <c r="G101" s="69" t="s">
        <v>334</v>
      </c>
      <c r="H101" s="69" t="s">
        <v>57</v>
      </c>
      <c r="I101" s="94"/>
      <c r="J101" s="94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customHeight="1" outlineLevel="1">
      <c r="A102" s="92" t="str">
        <f t="shared" si="4"/>
        <v/>
      </c>
      <c r="B102" s="89" t="s">
        <v>158</v>
      </c>
      <c r="C102" s="90"/>
      <c r="D102" s="90"/>
      <c r="E102" s="91"/>
      <c r="F102" s="90"/>
      <c r="G102" s="90"/>
      <c r="H102" s="91"/>
      <c r="I102" s="91"/>
      <c r="J102" s="91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customHeight="1" outlineLevel="2">
      <c r="A103" s="92" t="str">
        <f t="shared" si="4"/>
        <v>Categories-83</v>
      </c>
      <c r="B103" s="93" t="s">
        <v>351</v>
      </c>
      <c r="C103" s="93" t="s">
        <v>226</v>
      </c>
      <c r="D103" s="93" t="s">
        <v>226</v>
      </c>
      <c r="E103" s="69"/>
      <c r="F103" s="93" t="s">
        <v>352</v>
      </c>
      <c r="G103" s="69" t="s">
        <v>353</v>
      </c>
      <c r="H103" s="69" t="s">
        <v>57</v>
      </c>
      <c r="I103" s="94"/>
      <c r="J103" s="94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customHeight="1" outlineLevel="2">
      <c r="A104" s="92" t="str">
        <f t="shared" si="4"/>
        <v>Categories-84</v>
      </c>
      <c r="B104" s="95"/>
      <c r="C104" s="95"/>
      <c r="D104" s="95"/>
      <c r="E104" s="69"/>
      <c r="F104" s="95"/>
      <c r="G104" s="69" t="s">
        <v>229</v>
      </c>
      <c r="H104" s="69" t="s">
        <v>57</v>
      </c>
      <c r="I104" s="94"/>
      <c r="J104" s="94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customHeight="1" outlineLevel="2">
      <c r="A105" s="92" t="str">
        <f t="shared" si="4"/>
        <v>Categories-85</v>
      </c>
      <c r="B105" s="95"/>
      <c r="C105" s="95"/>
      <c r="D105" s="95"/>
      <c r="E105" s="69"/>
      <c r="F105" s="95"/>
      <c r="G105" s="69" t="s">
        <v>230</v>
      </c>
      <c r="H105" s="69" t="s">
        <v>57</v>
      </c>
      <c r="I105" s="94"/>
      <c r="J105" s="94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customHeight="1" outlineLevel="2">
      <c r="A106" s="92" t="str">
        <f t="shared" si="4"/>
        <v>Categories-86</v>
      </c>
      <c r="B106" s="95"/>
      <c r="C106" s="95"/>
      <c r="D106" s="95"/>
      <c r="E106" s="69"/>
      <c r="F106" s="96"/>
      <c r="G106" s="69" t="s">
        <v>354</v>
      </c>
      <c r="H106" s="69" t="s">
        <v>57</v>
      </c>
      <c r="I106" s="94"/>
      <c r="J106" s="94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customHeight="1" outlineLevel="2">
      <c r="A107" s="92" t="str">
        <f t="shared" si="4"/>
        <v>Categories-87</v>
      </c>
      <c r="B107" s="95"/>
      <c r="C107" s="95"/>
      <c r="D107" s="95"/>
      <c r="E107" s="69"/>
      <c r="F107" s="69" t="s">
        <v>209</v>
      </c>
      <c r="G107" s="69" t="s">
        <v>355</v>
      </c>
      <c r="H107" s="69" t="s">
        <v>57</v>
      </c>
      <c r="I107" s="94"/>
      <c r="J107" s="94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customHeight="1" outlineLevel="2">
      <c r="A108" s="92" t="str">
        <f t="shared" si="4"/>
        <v>Categories-88</v>
      </c>
      <c r="B108" s="95"/>
      <c r="C108" s="96"/>
      <c r="D108" s="96"/>
      <c r="E108" s="69"/>
      <c r="F108" s="93" t="s">
        <v>233</v>
      </c>
      <c r="G108" s="69" t="s">
        <v>356</v>
      </c>
      <c r="H108" s="69" t="s">
        <v>57</v>
      </c>
      <c r="I108" s="94"/>
      <c r="J108" s="94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customHeight="1" outlineLevel="2">
      <c r="A109" s="92" t="str">
        <f t="shared" si="4"/>
        <v>Categories-89</v>
      </c>
      <c r="B109" s="96"/>
      <c r="C109" s="69" t="s">
        <v>235</v>
      </c>
      <c r="D109" s="69" t="s">
        <v>226</v>
      </c>
      <c r="E109" s="94"/>
      <c r="F109" s="93" t="s">
        <v>357</v>
      </c>
      <c r="G109" s="69" t="s">
        <v>358</v>
      </c>
      <c r="H109" s="69" t="s">
        <v>57</v>
      </c>
      <c r="I109" s="94"/>
      <c r="J109" s="94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85"/>
      <c r="B110" s="86" t="s">
        <v>359</v>
      </c>
      <c r="C110" s="87"/>
      <c r="D110" s="87"/>
      <c r="E110" s="87"/>
      <c r="F110" s="87"/>
      <c r="G110" s="87"/>
      <c r="H110" s="87"/>
      <c r="I110" s="87"/>
      <c r="J110" s="8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customHeight="1" outlineLevel="1">
      <c r="A111" s="88"/>
      <c r="B111" s="89" t="s">
        <v>128</v>
      </c>
      <c r="C111" s="90"/>
      <c r="D111" s="90"/>
      <c r="E111" s="91"/>
      <c r="F111" s="90"/>
      <c r="G111" s="90"/>
      <c r="H111" s="91"/>
      <c r="I111" s="91"/>
      <c r="J111" s="91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customHeight="1" outlineLevel="2">
      <c r="A112" s="92" t="str">
        <f t="shared" ref="A112:A122" si="5">IF(G112="","",$C$2&amp;"-"&amp;SUBTOTAL(3,$G$10:G112))</f>
        <v>Categories-90</v>
      </c>
      <c r="B112" s="93" t="s">
        <v>129</v>
      </c>
      <c r="C112" s="93" t="s">
        <v>130</v>
      </c>
      <c r="D112" s="93" t="s">
        <v>130</v>
      </c>
      <c r="E112" s="94"/>
      <c r="F112" s="93" t="s">
        <v>360</v>
      </c>
      <c r="G112" s="69" t="s">
        <v>361</v>
      </c>
      <c r="H112" s="69" t="s">
        <v>57</v>
      </c>
      <c r="I112" s="94"/>
      <c r="J112" s="94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customHeight="1" outlineLevel="1">
      <c r="A113" s="92" t="str">
        <f t="shared" si="5"/>
        <v/>
      </c>
      <c r="B113" s="89" t="s">
        <v>149</v>
      </c>
      <c r="C113" s="90"/>
      <c r="D113" s="90"/>
      <c r="E113" s="91"/>
      <c r="F113" s="90"/>
      <c r="G113" s="90"/>
      <c r="H113" s="91"/>
      <c r="I113" s="91"/>
      <c r="J113" s="91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customHeight="1" outlineLevel="2">
      <c r="A114" s="92" t="str">
        <f t="shared" si="5"/>
        <v>Categories-91</v>
      </c>
      <c r="B114" s="93" t="s">
        <v>241</v>
      </c>
      <c r="C114" s="93" t="s">
        <v>241</v>
      </c>
      <c r="D114" s="99" t="s">
        <v>362</v>
      </c>
      <c r="E114" s="99"/>
      <c r="F114" s="93" t="s">
        <v>243</v>
      </c>
      <c r="G114" s="99" t="s">
        <v>244</v>
      </c>
      <c r="H114" s="69" t="s">
        <v>57</v>
      </c>
      <c r="I114" s="94"/>
      <c r="J114" s="94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customHeight="1" outlineLevel="2">
      <c r="A115" s="92" t="str">
        <f t="shared" si="5"/>
        <v>Categories-92</v>
      </c>
      <c r="B115" s="96"/>
      <c r="C115" s="96"/>
      <c r="D115" s="99" t="s">
        <v>363</v>
      </c>
      <c r="E115" s="99"/>
      <c r="F115" s="93" t="s">
        <v>243</v>
      </c>
      <c r="G115" s="99" t="s">
        <v>244</v>
      </c>
      <c r="H115" s="69" t="s">
        <v>57</v>
      </c>
      <c r="I115" s="94"/>
      <c r="J115" s="94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customHeight="1" outlineLevel="2">
      <c r="A116" s="92" t="str">
        <f t="shared" si="5"/>
        <v>Categories-93</v>
      </c>
      <c r="B116" s="93" t="s">
        <v>246</v>
      </c>
      <c r="C116" s="93" t="s">
        <v>246</v>
      </c>
      <c r="D116" s="99" t="s">
        <v>362</v>
      </c>
      <c r="E116" s="69"/>
      <c r="F116" s="93" t="s">
        <v>247</v>
      </c>
      <c r="G116" s="99" t="s">
        <v>248</v>
      </c>
      <c r="H116" s="69" t="s">
        <v>57</v>
      </c>
      <c r="I116" s="94"/>
      <c r="J116" s="94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customHeight="1" outlineLevel="2">
      <c r="A117" s="92" t="str">
        <f t="shared" si="5"/>
        <v>Categories-94</v>
      </c>
      <c r="B117" s="96"/>
      <c r="C117" s="96"/>
      <c r="D117" s="99" t="s">
        <v>363</v>
      </c>
      <c r="E117" s="69"/>
      <c r="F117" s="93" t="s">
        <v>247</v>
      </c>
      <c r="G117" s="69" t="s">
        <v>364</v>
      </c>
      <c r="H117" s="69" t="s">
        <v>57</v>
      </c>
      <c r="I117" s="94"/>
      <c r="J117" s="94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customHeight="1" outlineLevel="1">
      <c r="A118" s="92" t="str">
        <f t="shared" si="5"/>
        <v/>
      </c>
      <c r="B118" s="89" t="s">
        <v>158</v>
      </c>
      <c r="C118" s="90"/>
      <c r="D118" s="90"/>
      <c r="E118" s="91"/>
      <c r="F118" s="90"/>
      <c r="G118" s="90"/>
      <c r="H118" s="91"/>
      <c r="I118" s="91"/>
      <c r="J118" s="91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47.25" customHeight="1" outlineLevel="2">
      <c r="A119" s="92" t="str">
        <f t="shared" si="5"/>
        <v>Categories-95</v>
      </c>
      <c r="B119" s="93" t="s">
        <v>250</v>
      </c>
      <c r="C119" s="93" t="s">
        <v>365</v>
      </c>
      <c r="D119" s="93" t="s">
        <v>365</v>
      </c>
      <c r="E119" s="69"/>
      <c r="F119" s="93" t="s">
        <v>247</v>
      </c>
      <c r="G119" s="99" t="s">
        <v>248</v>
      </c>
      <c r="H119" s="69" t="s">
        <v>57</v>
      </c>
      <c r="I119" s="94"/>
      <c r="J119" s="94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customHeight="1" outlineLevel="2">
      <c r="A120" s="92" t="str">
        <f t="shared" si="5"/>
        <v>Categories-96</v>
      </c>
      <c r="B120" s="95"/>
      <c r="C120" s="95"/>
      <c r="D120" s="95"/>
      <c r="E120" s="69"/>
      <c r="F120" s="95"/>
      <c r="G120" s="69" t="s">
        <v>366</v>
      </c>
      <c r="H120" s="69" t="s">
        <v>57</v>
      </c>
      <c r="I120" s="94"/>
      <c r="J120" s="94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customHeight="1" outlineLevel="2">
      <c r="A121" s="92" t="str">
        <f t="shared" si="5"/>
        <v>Categories-97</v>
      </c>
      <c r="B121" s="95"/>
      <c r="C121" s="95"/>
      <c r="D121" s="95"/>
      <c r="E121" s="69"/>
      <c r="F121" s="96"/>
      <c r="G121" s="69" t="s">
        <v>367</v>
      </c>
      <c r="H121" s="69" t="s">
        <v>57</v>
      </c>
      <c r="I121" s="94"/>
      <c r="J121" s="94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customHeight="1" outlineLevel="2">
      <c r="A122" s="92" t="str">
        <f t="shared" si="5"/>
        <v>Categories-98</v>
      </c>
      <c r="B122" s="96"/>
      <c r="C122" s="96"/>
      <c r="D122" s="96"/>
      <c r="E122" s="69"/>
      <c r="F122" s="69" t="s">
        <v>254</v>
      </c>
      <c r="G122" s="69" t="s">
        <v>368</v>
      </c>
      <c r="H122" s="104" t="s">
        <v>81</v>
      </c>
      <c r="I122" s="94"/>
      <c r="J122" s="106" t="s">
        <v>369</v>
      </c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customHeight="1">
      <c r="A123" s="67"/>
      <c r="B123" s="67"/>
      <c r="C123" s="70"/>
      <c r="D123" s="70"/>
      <c r="E123" s="67"/>
      <c r="F123" s="70"/>
      <c r="G123" s="70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customHeight="1">
      <c r="A124" s="67"/>
      <c r="B124" s="67"/>
      <c r="C124" s="70"/>
      <c r="D124" s="70"/>
      <c r="E124" s="67"/>
      <c r="F124" s="70"/>
      <c r="G124" s="70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67"/>
      <c r="B125" s="67"/>
      <c r="C125" s="70"/>
      <c r="D125" s="70"/>
      <c r="E125" s="67"/>
      <c r="F125" s="70"/>
      <c r="G125" s="70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customHeight="1">
      <c r="A126" s="67"/>
      <c r="B126" s="67"/>
      <c r="C126" s="70"/>
      <c r="D126" s="70"/>
      <c r="E126" s="67"/>
      <c r="F126" s="70"/>
      <c r="G126" s="70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customHeight="1">
      <c r="A127" s="67"/>
      <c r="B127" s="67"/>
      <c r="C127" s="70"/>
      <c r="D127" s="70"/>
      <c r="E127" s="67"/>
      <c r="F127" s="70"/>
      <c r="G127" s="70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customHeight="1">
      <c r="A128" s="67"/>
      <c r="B128" s="67"/>
      <c r="C128" s="70"/>
      <c r="D128" s="70"/>
      <c r="E128" s="67"/>
      <c r="F128" s="70"/>
      <c r="G128" s="70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>
      <c r="A129" s="67"/>
      <c r="B129" s="67"/>
      <c r="C129" s="70"/>
      <c r="D129" s="70"/>
      <c r="E129" s="67"/>
      <c r="F129" s="70"/>
      <c r="G129" s="70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customHeight="1">
      <c r="A130" s="67"/>
      <c r="B130" s="67"/>
      <c r="C130" s="70"/>
      <c r="D130" s="70"/>
      <c r="E130" s="67"/>
      <c r="F130" s="70"/>
      <c r="G130" s="70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customHeight="1">
      <c r="A131" s="67"/>
      <c r="B131" s="67"/>
      <c r="C131" s="70"/>
      <c r="D131" s="70"/>
      <c r="E131" s="67"/>
      <c r="F131" s="70"/>
      <c r="G131" s="70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customHeight="1">
      <c r="A132" s="67"/>
      <c r="B132" s="67"/>
      <c r="C132" s="70"/>
      <c r="D132" s="70"/>
      <c r="E132" s="67"/>
      <c r="F132" s="70"/>
      <c r="G132" s="70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customHeight="1">
      <c r="A133" s="67"/>
      <c r="B133" s="67"/>
      <c r="C133" s="70"/>
      <c r="D133" s="70"/>
      <c r="E133" s="67"/>
      <c r="F133" s="70"/>
      <c r="G133" s="70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customHeight="1">
      <c r="A134" s="67"/>
      <c r="B134" s="67"/>
      <c r="C134" s="70"/>
      <c r="D134" s="70"/>
      <c r="E134" s="67"/>
      <c r="F134" s="70"/>
      <c r="G134" s="70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customHeight="1">
      <c r="A135" s="67"/>
      <c r="B135" s="67"/>
      <c r="C135" s="70"/>
      <c r="D135" s="70"/>
      <c r="E135" s="67"/>
      <c r="F135" s="70"/>
      <c r="G135" s="70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customHeight="1">
      <c r="A136" s="67"/>
      <c r="B136" s="67"/>
      <c r="C136" s="70"/>
      <c r="D136" s="70"/>
      <c r="E136" s="67"/>
      <c r="F136" s="70"/>
      <c r="G136" s="70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customHeight="1">
      <c r="A137" s="67"/>
      <c r="B137" s="67"/>
      <c r="C137" s="70"/>
      <c r="D137" s="70"/>
      <c r="E137" s="67"/>
      <c r="F137" s="70"/>
      <c r="G137" s="70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customHeight="1">
      <c r="A138" s="67"/>
      <c r="B138" s="67"/>
      <c r="C138" s="70"/>
      <c r="D138" s="70"/>
      <c r="E138" s="67"/>
      <c r="F138" s="70"/>
      <c r="G138" s="70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customHeight="1">
      <c r="A139" s="67"/>
      <c r="B139" s="67"/>
      <c r="C139" s="70"/>
      <c r="D139" s="70"/>
      <c r="E139" s="67"/>
      <c r="F139" s="70"/>
      <c r="G139" s="70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customHeight="1">
      <c r="A140" s="67"/>
      <c r="B140" s="67"/>
      <c r="C140" s="70"/>
      <c r="D140" s="70"/>
      <c r="E140" s="67"/>
      <c r="F140" s="70"/>
      <c r="G140" s="70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customHeight="1">
      <c r="A141" s="67"/>
      <c r="B141" s="67"/>
      <c r="C141" s="70"/>
      <c r="D141" s="70"/>
      <c r="E141" s="67"/>
      <c r="F141" s="70"/>
      <c r="G141" s="70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70"/>
      <c r="D142" s="70"/>
      <c r="E142" s="67"/>
      <c r="F142" s="70"/>
      <c r="G142" s="70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70"/>
      <c r="D143" s="70"/>
      <c r="E143" s="67"/>
      <c r="F143" s="70"/>
      <c r="G143" s="70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70"/>
      <c r="D144" s="70"/>
      <c r="E144" s="67"/>
      <c r="F144" s="70"/>
      <c r="G144" s="70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70"/>
      <c r="D145" s="70"/>
      <c r="E145" s="67"/>
      <c r="F145" s="70"/>
      <c r="G145" s="70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70"/>
      <c r="D146" s="70"/>
      <c r="E146" s="67"/>
      <c r="F146" s="70"/>
      <c r="G146" s="70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70"/>
      <c r="D147" s="70"/>
      <c r="E147" s="67"/>
      <c r="F147" s="70"/>
      <c r="G147" s="70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70"/>
      <c r="D148" s="70"/>
      <c r="E148" s="67"/>
      <c r="F148" s="70"/>
      <c r="G148" s="70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70"/>
      <c r="D149" s="70"/>
      <c r="E149" s="67"/>
      <c r="F149" s="70"/>
      <c r="G149" s="70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70"/>
      <c r="D150" s="70"/>
      <c r="E150" s="67"/>
      <c r="F150" s="70"/>
      <c r="G150" s="70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70"/>
      <c r="D151" s="70"/>
      <c r="E151" s="67"/>
      <c r="F151" s="70"/>
      <c r="G151" s="70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70"/>
      <c r="D152" s="70"/>
      <c r="E152" s="67"/>
      <c r="F152" s="70"/>
      <c r="G152" s="70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70"/>
      <c r="D153" s="70"/>
      <c r="E153" s="67"/>
      <c r="F153" s="70"/>
      <c r="G153" s="70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70"/>
      <c r="D154" s="70"/>
      <c r="E154" s="67"/>
      <c r="F154" s="70"/>
      <c r="G154" s="70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70"/>
      <c r="D155" s="70"/>
      <c r="E155" s="67"/>
      <c r="F155" s="70"/>
      <c r="G155" s="70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70"/>
      <c r="D156" s="70"/>
      <c r="E156" s="67"/>
      <c r="F156" s="70"/>
      <c r="G156" s="70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70"/>
      <c r="D157" s="70"/>
      <c r="E157" s="67"/>
      <c r="F157" s="70"/>
      <c r="G157" s="70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70"/>
      <c r="D158" s="70"/>
      <c r="E158" s="67"/>
      <c r="F158" s="70"/>
      <c r="G158" s="70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70"/>
      <c r="D159" s="70"/>
      <c r="E159" s="67"/>
      <c r="F159" s="70"/>
      <c r="G159" s="70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70"/>
      <c r="D160" s="70"/>
      <c r="E160" s="67"/>
      <c r="F160" s="70"/>
      <c r="G160" s="70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70"/>
      <c r="D161" s="70"/>
      <c r="E161" s="67"/>
      <c r="F161" s="70"/>
      <c r="G161" s="70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70"/>
      <c r="D162" s="70"/>
      <c r="E162" s="67"/>
      <c r="F162" s="70"/>
      <c r="G162" s="70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70"/>
      <c r="D163" s="70"/>
      <c r="E163" s="67"/>
      <c r="F163" s="70"/>
      <c r="G163" s="70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70"/>
      <c r="D164" s="70"/>
      <c r="E164" s="67"/>
      <c r="F164" s="70"/>
      <c r="G164" s="70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70"/>
      <c r="D165" s="70"/>
      <c r="E165" s="67"/>
      <c r="F165" s="70"/>
      <c r="G165" s="70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70"/>
      <c r="D166" s="70"/>
      <c r="E166" s="67"/>
      <c r="F166" s="70"/>
      <c r="G166" s="70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70"/>
      <c r="D167" s="70"/>
      <c r="E167" s="67"/>
      <c r="F167" s="70"/>
      <c r="G167" s="70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70"/>
      <c r="D168" s="70"/>
      <c r="E168" s="67"/>
      <c r="F168" s="70"/>
      <c r="G168" s="70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70"/>
      <c r="D169" s="70"/>
      <c r="E169" s="67"/>
      <c r="F169" s="70"/>
      <c r="G169" s="70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70"/>
      <c r="D170" s="70"/>
      <c r="E170" s="67"/>
      <c r="F170" s="70"/>
      <c r="G170" s="70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70"/>
      <c r="D171" s="70"/>
      <c r="E171" s="67"/>
      <c r="F171" s="70"/>
      <c r="G171" s="70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70"/>
      <c r="D172" s="70"/>
      <c r="E172" s="67"/>
      <c r="F172" s="70"/>
      <c r="G172" s="70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70"/>
      <c r="D173" s="70"/>
      <c r="E173" s="67"/>
      <c r="F173" s="70"/>
      <c r="G173" s="70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70"/>
      <c r="D174" s="70"/>
      <c r="E174" s="67"/>
      <c r="F174" s="70"/>
      <c r="G174" s="70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70"/>
      <c r="D175" s="70"/>
      <c r="E175" s="67"/>
      <c r="F175" s="70"/>
      <c r="G175" s="70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70"/>
      <c r="D176" s="70"/>
      <c r="E176" s="67"/>
      <c r="F176" s="70"/>
      <c r="G176" s="70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70"/>
      <c r="D177" s="70"/>
      <c r="E177" s="67"/>
      <c r="F177" s="70"/>
      <c r="G177" s="70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70"/>
      <c r="D178" s="70"/>
      <c r="E178" s="67"/>
      <c r="F178" s="70"/>
      <c r="G178" s="70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70"/>
      <c r="D179" s="70"/>
      <c r="E179" s="67"/>
      <c r="F179" s="70"/>
      <c r="G179" s="70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70"/>
      <c r="D180" s="70"/>
      <c r="E180" s="67"/>
      <c r="F180" s="70"/>
      <c r="G180" s="70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70"/>
      <c r="D181" s="70"/>
      <c r="E181" s="67"/>
      <c r="F181" s="70"/>
      <c r="G181" s="70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70"/>
      <c r="D182" s="70"/>
      <c r="E182" s="67"/>
      <c r="F182" s="70"/>
      <c r="G182" s="70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70"/>
      <c r="D183" s="70"/>
      <c r="E183" s="67"/>
      <c r="F183" s="70"/>
      <c r="G183" s="70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70"/>
      <c r="D184" s="70"/>
      <c r="E184" s="67"/>
      <c r="F184" s="70"/>
      <c r="G184" s="70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70"/>
      <c r="D185" s="70"/>
      <c r="E185" s="67"/>
      <c r="F185" s="70"/>
      <c r="G185" s="70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70"/>
      <c r="D186" s="70"/>
      <c r="E186" s="67"/>
      <c r="F186" s="70"/>
      <c r="G186" s="70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70"/>
      <c r="D187" s="70"/>
      <c r="E187" s="67"/>
      <c r="F187" s="70"/>
      <c r="G187" s="70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70"/>
      <c r="D188" s="70"/>
      <c r="E188" s="67"/>
      <c r="F188" s="70"/>
      <c r="G188" s="70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70"/>
      <c r="D189" s="70"/>
      <c r="E189" s="67"/>
      <c r="F189" s="70"/>
      <c r="G189" s="70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70"/>
      <c r="D190" s="70"/>
      <c r="E190" s="67"/>
      <c r="F190" s="70"/>
      <c r="G190" s="70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70"/>
      <c r="D191" s="70"/>
      <c r="E191" s="67"/>
      <c r="F191" s="70"/>
      <c r="G191" s="70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70"/>
      <c r="D192" s="70"/>
      <c r="E192" s="67"/>
      <c r="F192" s="70"/>
      <c r="G192" s="70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70"/>
      <c r="D193" s="70"/>
      <c r="E193" s="67"/>
      <c r="F193" s="70"/>
      <c r="G193" s="70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70"/>
      <c r="D194" s="70"/>
      <c r="E194" s="67"/>
      <c r="F194" s="70"/>
      <c r="G194" s="70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70"/>
      <c r="D195" s="70"/>
      <c r="E195" s="67"/>
      <c r="F195" s="70"/>
      <c r="G195" s="70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70"/>
      <c r="D196" s="70"/>
      <c r="E196" s="67"/>
      <c r="F196" s="70"/>
      <c r="G196" s="70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70"/>
      <c r="D197" s="70"/>
      <c r="E197" s="67"/>
      <c r="F197" s="70"/>
      <c r="G197" s="70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70"/>
      <c r="D198" s="70"/>
      <c r="E198" s="67"/>
      <c r="F198" s="70"/>
      <c r="G198" s="70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70"/>
      <c r="D199" s="70"/>
      <c r="E199" s="67"/>
      <c r="F199" s="70"/>
      <c r="G199" s="70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70"/>
      <c r="D200" s="70"/>
      <c r="E200" s="67"/>
      <c r="F200" s="70"/>
      <c r="G200" s="70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70"/>
      <c r="D201" s="70"/>
      <c r="E201" s="67"/>
      <c r="F201" s="70"/>
      <c r="G201" s="70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70"/>
      <c r="D202" s="70"/>
      <c r="E202" s="67"/>
      <c r="F202" s="70"/>
      <c r="G202" s="70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70"/>
      <c r="D203" s="70"/>
      <c r="E203" s="67"/>
      <c r="F203" s="70"/>
      <c r="G203" s="70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70"/>
      <c r="D204" s="70"/>
      <c r="E204" s="67"/>
      <c r="F204" s="70"/>
      <c r="G204" s="70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70"/>
      <c r="D205" s="70"/>
      <c r="E205" s="67"/>
      <c r="F205" s="70"/>
      <c r="G205" s="70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70"/>
      <c r="D206" s="70"/>
      <c r="E206" s="67"/>
      <c r="F206" s="70"/>
      <c r="G206" s="70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70"/>
      <c r="D207" s="70"/>
      <c r="E207" s="67"/>
      <c r="F207" s="70"/>
      <c r="G207" s="70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70"/>
      <c r="D208" s="70"/>
      <c r="E208" s="67"/>
      <c r="F208" s="70"/>
      <c r="G208" s="70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70"/>
      <c r="D209" s="70"/>
      <c r="E209" s="67"/>
      <c r="F209" s="70"/>
      <c r="G209" s="70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70"/>
      <c r="D210" s="70"/>
      <c r="E210" s="67"/>
      <c r="F210" s="70"/>
      <c r="G210" s="70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70"/>
      <c r="D211" s="70"/>
      <c r="E211" s="67"/>
      <c r="F211" s="70"/>
      <c r="G211" s="70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70"/>
      <c r="D212" s="70"/>
      <c r="E212" s="67"/>
      <c r="F212" s="70"/>
      <c r="G212" s="70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70"/>
      <c r="D213" s="70"/>
      <c r="E213" s="67"/>
      <c r="F213" s="70"/>
      <c r="G213" s="70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70"/>
      <c r="D214" s="70"/>
      <c r="E214" s="67"/>
      <c r="F214" s="70"/>
      <c r="G214" s="70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70"/>
      <c r="D215" s="70"/>
      <c r="E215" s="67"/>
      <c r="F215" s="70"/>
      <c r="G215" s="70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70"/>
      <c r="D216" s="70"/>
      <c r="E216" s="67"/>
      <c r="F216" s="70"/>
      <c r="G216" s="70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70"/>
      <c r="D217" s="70"/>
      <c r="E217" s="67"/>
      <c r="F217" s="70"/>
      <c r="G217" s="70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70"/>
      <c r="D218" s="70"/>
      <c r="E218" s="67"/>
      <c r="F218" s="70"/>
      <c r="G218" s="70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70"/>
      <c r="D219" s="70"/>
      <c r="E219" s="67"/>
      <c r="F219" s="70"/>
      <c r="G219" s="70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70"/>
      <c r="D220" s="70"/>
      <c r="E220" s="67"/>
      <c r="F220" s="70"/>
      <c r="G220" s="70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67"/>
      <c r="B221" s="67"/>
      <c r="C221" s="70"/>
      <c r="D221" s="70"/>
      <c r="E221" s="67"/>
      <c r="F221" s="70"/>
      <c r="G221" s="70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67"/>
      <c r="B222" s="67"/>
      <c r="C222" s="70"/>
      <c r="D222" s="70"/>
      <c r="E222" s="67"/>
      <c r="F222" s="70"/>
      <c r="G222" s="70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67"/>
      <c r="B223" s="67"/>
      <c r="C223" s="70"/>
      <c r="D223" s="70"/>
      <c r="E223" s="67"/>
      <c r="F223" s="70"/>
      <c r="G223" s="70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67"/>
      <c r="B224" s="67"/>
      <c r="C224" s="70"/>
      <c r="D224" s="70"/>
      <c r="E224" s="67"/>
      <c r="F224" s="70"/>
      <c r="G224" s="70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67"/>
      <c r="B225" s="67"/>
      <c r="C225" s="70"/>
      <c r="D225" s="70"/>
      <c r="E225" s="67"/>
      <c r="F225" s="70"/>
      <c r="G225" s="70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>
      <c r="A226" s="67"/>
      <c r="B226" s="67"/>
      <c r="C226" s="70"/>
      <c r="D226" s="70"/>
      <c r="E226" s="67"/>
      <c r="F226" s="70"/>
      <c r="G226" s="70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5.75" customHeight="1">
      <c r="A227" s="67"/>
      <c r="B227" s="67"/>
      <c r="C227" s="70"/>
      <c r="D227" s="70"/>
      <c r="E227" s="67"/>
      <c r="F227" s="70"/>
      <c r="G227" s="70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5.75" customHeight="1">
      <c r="A228" s="67"/>
      <c r="B228" s="67"/>
      <c r="C228" s="70"/>
      <c r="D228" s="70"/>
      <c r="E228" s="67"/>
      <c r="F228" s="70"/>
      <c r="G228" s="70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customHeight="1">
      <c r="A229" s="67"/>
      <c r="B229" s="67"/>
      <c r="C229" s="70"/>
      <c r="D229" s="70"/>
      <c r="E229" s="67"/>
      <c r="F229" s="70"/>
      <c r="G229" s="70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5.75" customHeight="1">
      <c r="A230" s="67"/>
      <c r="B230" s="67"/>
      <c r="C230" s="70"/>
      <c r="D230" s="70"/>
      <c r="E230" s="67"/>
      <c r="F230" s="70"/>
      <c r="G230" s="70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5.75" customHeight="1">
      <c r="A231" s="67"/>
      <c r="B231" s="67"/>
      <c r="C231" s="70"/>
      <c r="D231" s="70"/>
      <c r="E231" s="67"/>
      <c r="F231" s="70"/>
      <c r="G231" s="70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5.75" customHeight="1">
      <c r="A232" s="67"/>
      <c r="B232" s="67"/>
      <c r="C232" s="70"/>
      <c r="D232" s="70"/>
      <c r="E232" s="67"/>
      <c r="F232" s="70"/>
      <c r="G232" s="70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5.75" customHeight="1">
      <c r="A233" s="67"/>
      <c r="B233" s="67"/>
      <c r="C233" s="70"/>
      <c r="D233" s="70"/>
      <c r="E233" s="67"/>
      <c r="F233" s="70"/>
      <c r="G233" s="70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5.75" customHeight="1">
      <c r="A234" s="67"/>
      <c r="B234" s="67"/>
      <c r="C234" s="70"/>
      <c r="D234" s="70"/>
      <c r="E234" s="67"/>
      <c r="F234" s="70"/>
      <c r="G234" s="70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5.75" customHeight="1">
      <c r="A235" s="67"/>
      <c r="B235" s="67"/>
      <c r="C235" s="70"/>
      <c r="D235" s="70"/>
      <c r="E235" s="67"/>
      <c r="F235" s="70"/>
      <c r="G235" s="70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5.75" customHeight="1">
      <c r="A236" s="67"/>
      <c r="B236" s="67"/>
      <c r="C236" s="70"/>
      <c r="D236" s="70"/>
      <c r="E236" s="67"/>
      <c r="F236" s="70"/>
      <c r="G236" s="70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5.75" customHeight="1">
      <c r="A237" s="67"/>
      <c r="B237" s="67"/>
      <c r="C237" s="70"/>
      <c r="D237" s="70"/>
      <c r="E237" s="67"/>
      <c r="F237" s="70"/>
      <c r="G237" s="70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5.75" customHeight="1">
      <c r="A238" s="67"/>
      <c r="B238" s="67"/>
      <c r="C238" s="70"/>
      <c r="D238" s="70"/>
      <c r="E238" s="67"/>
      <c r="F238" s="70"/>
      <c r="G238" s="70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5.75" customHeight="1">
      <c r="A239" s="67"/>
      <c r="B239" s="67"/>
      <c r="C239" s="70"/>
      <c r="D239" s="70"/>
      <c r="E239" s="67"/>
      <c r="F239" s="70"/>
      <c r="G239" s="70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5.75" customHeight="1">
      <c r="A240" s="67"/>
      <c r="B240" s="67"/>
      <c r="C240" s="70"/>
      <c r="D240" s="70"/>
      <c r="E240" s="67"/>
      <c r="F240" s="70"/>
      <c r="G240" s="70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5.75" customHeight="1">
      <c r="A241" s="67"/>
      <c r="B241" s="67"/>
      <c r="C241" s="70"/>
      <c r="D241" s="70"/>
      <c r="E241" s="67"/>
      <c r="F241" s="70"/>
      <c r="G241" s="70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5.75" customHeight="1">
      <c r="A242" s="67"/>
      <c r="B242" s="67"/>
      <c r="C242" s="70"/>
      <c r="D242" s="70"/>
      <c r="E242" s="67"/>
      <c r="F242" s="70"/>
      <c r="G242" s="70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5.75" customHeight="1">
      <c r="A243" s="67"/>
      <c r="B243" s="67"/>
      <c r="C243" s="70"/>
      <c r="D243" s="70"/>
      <c r="E243" s="67"/>
      <c r="F243" s="70"/>
      <c r="G243" s="70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5.75" customHeight="1">
      <c r="A244" s="67"/>
      <c r="B244" s="67"/>
      <c r="C244" s="70"/>
      <c r="D244" s="70"/>
      <c r="E244" s="67"/>
      <c r="F244" s="70"/>
      <c r="G244" s="70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5.75" customHeight="1">
      <c r="A245" s="67"/>
      <c r="B245" s="67"/>
      <c r="C245" s="70"/>
      <c r="D245" s="70"/>
      <c r="E245" s="67"/>
      <c r="F245" s="70"/>
      <c r="G245" s="70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5.75" customHeight="1">
      <c r="A246" s="67"/>
      <c r="B246" s="67"/>
      <c r="C246" s="70"/>
      <c r="D246" s="70"/>
      <c r="E246" s="67"/>
      <c r="F246" s="70"/>
      <c r="G246" s="70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5.75" customHeight="1">
      <c r="A247" s="67"/>
      <c r="B247" s="67"/>
      <c r="C247" s="70"/>
      <c r="D247" s="70"/>
      <c r="E247" s="67"/>
      <c r="F247" s="70"/>
      <c r="G247" s="70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5.75" customHeight="1">
      <c r="A248" s="67"/>
      <c r="B248" s="67"/>
      <c r="C248" s="70"/>
      <c r="D248" s="70"/>
      <c r="E248" s="67"/>
      <c r="F248" s="70"/>
      <c r="G248" s="70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5.75" customHeight="1">
      <c r="A249" s="67"/>
      <c r="B249" s="67"/>
      <c r="C249" s="70"/>
      <c r="D249" s="70"/>
      <c r="E249" s="67"/>
      <c r="F249" s="70"/>
      <c r="G249" s="70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5.75" customHeight="1">
      <c r="A250" s="67"/>
      <c r="B250" s="67"/>
      <c r="C250" s="70"/>
      <c r="D250" s="70"/>
      <c r="E250" s="67"/>
      <c r="F250" s="70"/>
      <c r="G250" s="70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5.75" customHeight="1">
      <c r="A251" s="67"/>
      <c r="B251" s="67"/>
      <c r="C251" s="70"/>
      <c r="D251" s="70"/>
      <c r="E251" s="67"/>
      <c r="F251" s="70"/>
      <c r="G251" s="70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5.75" customHeight="1">
      <c r="A252" s="67"/>
      <c r="B252" s="67"/>
      <c r="C252" s="70"/>
      <c r="D252" s="70"/>
      <c r="E252" s="67"/>
      <c r="F252" s="70"/>
      <c r="G252" s="70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5.75" customHeight="1">
      <c r="A253" s="67"/>
      <c r="B253" s="67"/>
      <c r="C253" s="70"/>
      <c r="D253" s="70"/>
      <c r="E253" s="67"/>
      <c r="F253" s="70"/>
      <c r="G253" s="70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5.75" customHeight="1">
      <c r="A254" s="67"/>
      <c r="B254" s="67"/>
      <c r="C254" s="70"/>
      <c r="D254" s="70"/>
      <c r="E254" s="67"/>
      <c r="F254" s="70"/>
      <c r="G254" s="70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5.75" customHeight="1">
      <c r="A255" s="67"/>
      <c r="B255" s="67"/>
      <c r="C255" s="70"/>
      <c r="D255" s="70"/>
      <c r="E255" s="67"/>
      <c r="F255" s="70"/>
      <c r="G255" s="70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5.75" customHeight="1">
      <c r="A256" s="67"/>
      <c r="B256" s="67"/>
      <c r="C256" s="70"/>
      <c r="D256" s="70"/>
      <c r="E256" s="67"/>
      <c r="F256" s="70"/>
      <c r="G256" s="70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5.75" customHeight="1">
      <c r="A257" s="67"/>
      <c r="B257" s="67"/>
      <c r="C257" s="70"/>
      <c r="D257" s="70"/>
      <c r="E257" s="67"/>
      <c r="F257" s="70"/>
      <c r="G257" s="70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customHeight="1">
      <c r="A258" s="67"/>
      <c r="B258" s="67"/>
      <c r="C258" s="70"/>
      <c r="D258" s="70"/>
      <c r="E258" s="67"/>
      <c r="F258" s="70"/>
      <c r="G258" s="70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customHeight="1">
      <c r="A259" s="67"/>
      <c r="B259" s="67"/>
      <c r="C259" s="70"/>
      <c r="D259" s="70"/>
      <c r="E259" s="67"/>
      <c r="F259" s="70"/>
      <c r="G259" s="70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customHeight="1">
      <c r="A260" s="67"/>
      <c r="B260" s="67"/>
      <c r="C260" s="70"/>
      <c r="D260" s="70"/>
      <c r="E260" s="67"/>
      <c r="F260" s="70"/>
      <c r="G260" s="70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customHeight="1">
      <c r="A261" s="67"/>
      <c r="B261" s="67"/>
      <c r="C261" s="70"/>
      <c r="D261" s="70"/>
      <c r="E261" s="67"/>
      <c r="F261" s="70"/>
      <c r="G261" s="70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customHeight="1">
      <c r="A262" s="67"/>
      <c r="B262" s="67"/>
      <c r="C262" s="70"/>
      <c r="D262" s="70"/>
      <c r="E262" s="67"/>
      <c r="F262" s="70"/>
      <c r="G262" s="70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customHeight="1">
      <c r="A263" s="67"/>
      <c r="B263" s="67"/>
      <c r="C263" s="70"/>
      <c r="D263" s="70"/>
      <c r="E263" s="67"/>
      <c r="F263" s="70"/>
      <c r="G263" s="70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customHeight="1">
      <c r="A264" s="67"/>
      <c r="B264" s="67"/>
      <c r="C264" s="70"/>
      <c r="D264" s="70"/>
      <c r="E264" s="67"/>
      <c r="F264" s="70"/>
      <c r="G264" s="70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customHeight="1">
      <c r="A265" s="67"/>
      <c r="B265" s="67"/>
      <c r="C265" s="70"/>
      <c r="D265" s="70"/>
      <c r="E265" s="67"/>
      <c r="F265" s="70"/>
      <c r="G265" s="70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customHeight="1">
      <c r="A266" s="67"/>
      <c r="B266" s="67"/>
      <c r="C266" s="70"/>
      <c r="D266" s="70"/>
      <c r="E266" s="67"/>
      <c r="F266" s="70"/>
      <c r="G266" s="70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customHeight="1">
      <c r="A267" s="67"/>
      <c r="B267" s="67"/>
      <c r="C267" s="70"/>
      <c r="D267" s="70"/>
      <c r="E267" s="67"/>
      <c r="F267" s="70"/>
      <c r="G267" s="70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customHeight="1">
      <c r="A268" s="67"/>
      <c r="B268" s="67"/>
      <c r="C268" s="70"/>
      <c r="D268" s="70"/>
      <c r="E268" s="67"/>
      <c r="F268" s="70"/>
      <c r="G268" s="70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customHeight="1">
      <c r="A269" s="67"/>
      <c r="B269" s="67"/>
      <c r="C269" s="70"/>
      <c r="D269" s="70"/>
      <c r="E269" s="67"/>
      <c r="F269" s="70"/>
      <c r="G269" s="70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customHeight="1">
      <c r="A270" s="67"/>
      <c r="B270" s="67"/>
      <c r="C270" s="70"/>
      <c r="D270" s="70"/>
      <c r="E270" s="67"/>
      <c r="F270" s="70"/>
      <c r="G270" s="70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customHeight="1">
      <c r="A271" s="67"/>
      <c r="B271" s="67"/>
      <c r="C271" s="70"/>
      <c r="D271" s="70"/>
      <c r="E271" s="67"/>
      <c r="F271" s="70"/>
      <c r="G271" s="70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customHeight="1">
      <c r="A272" s="67"/>
      <c r="B272" s="67"/>
      <c r="C272" s="70"/>
      <c r="D272" s="70"/>
      <c r="E272" s="67"/>
      <c r="F272" s="70"/>
      <c r="G272" s="70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customHeight="1">
      <c r="A273" s="67"/>
      <c r="B273" s="67"/>
      <c r="C273" s="70"/>
      <c r="D273" s="70"/>
      <c r="E273" s="67"/>
      <c r="F273" s="70"/>
      <c r="G273" s="70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customHeight="1">
      <c r="A274" s="67"/>
      <c r="B274" s="67"/>
      <c r="C274" s="70"/>
      <c r="D274" s="70"/>
      <c r="E274" s="67"/>
      <c r="F274" s="70"/>
      <c r="G274" s="70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customHeight="1">
      <c r="A275" s="67"/>
      <c r="B275" s="67"/>
      <c r="C275" s="70"/>
      <c r="D275" s="70"/>
      <c r="E275" s="67"/>
      <c r="F275" s="70"/>
      <c r="G275" s="70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customHeight="1">
      <c r="A276" s="67"/>
      <c r="B276" s="67"/>
      <c r="C276" s="70"/>
      <c r="D276" s="70"/>
      <c r="E276" s="67"/>
      <c r="F276" s="70"/>
      <c r="G276" s="70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customHeight="1">
      <c r="A277" s="67"/>
      <c r="B277" s="67"/>
      <c r="C277" s="70"/>
      <c r="D277" s="70"/>
      <c r="E277" s="67"/>
      <c r="F277" s="70"/>
      <c r="G277" s="70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customHeight="1">
      <c r="A278" s="67"/>
      <c r="B278" s="67"/>
      <c r="C278" s="70"/>
      <c r="D278" s="70"/>
      <c r="E278" s="67"/>
      <c r="F278" s="70"/>
      <c r="G278" s="70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customHeight="1">
      <c r="A279" s="67"/>
      <c r="B279" s="67"/>
      <c r="C279" s="70"/>
      <c r="D279" s="70"/>
      <c r="E279" s="67"/>
      <c r="F279" s="70"/>
      <c r="G279" s="70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customHeight="1">
      <c r="A280" s="67"/>
      <c r="B280" s="67"/>
      <c r="C280" s="70"/>
      <c r="D280" s="70"/>
      <c r="E280" s="67"/>
      <c r="F280" s="70"/>
      <c r="G280" s="70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customHeight="1">
      <c r="A281" s="67"/>
      <c r="B281" s="67"/>
      <c r="C281" s="70"/>
      <c r="D281" s="70"/>
      <c r="E281" s="67"/>
      <c r="F281" s="70"/>
      <c r="G281" s="70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customHeight="1">
      <c r="A282" s="67"/>
      <c r="B282" s="67"/>
      <c r="C282" s="70"/>
      <c r="D282" s="70"/>
      <c r="E282" s="67"/>
      <c r="F282" s="70"/>
      <c r="G282" s="70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customHeight="1">
      <c r="A283" s="67"/>
      <c r="B283" s="67"/>
      <c r="C283" s="70"/>
      <c r="D283" s="70"/>
      <c r="E283" s="67"/>
      <c r="F283" s="70"/>
      <c r="G283" s="70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customHeight="1">
      <c r="A284" s="67"/>
      <c r="B284" s="67"/>
      <c r="C284" s="70"/>
      <c r="D284" s="70"/>
      <c r="E284" s="67"/>
      <c r="F284" s="70"/>
      <c r="G284" s="70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customHeight="1">
      <c r="A285" s="67"/>
      <c r="B285" s="67"/>
      <c r="C285" s="70"/>
      <c r="D285" s="70"/>
      <c r="E285" s="67"/>
      <c r="F285" s="70"/>
      <c r="G285" s="70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customHeight="1">
      <c r="A286" s="67"/>
      <c r="B286" s="67"/>
      <c r="C286" s="70"/>
      <c r="D286" s="70"/>
      <c r="E286" s="67"/>
      <c r="F286" s="70"/>
      <c r="G286" s="70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customHeight="1">
      <c r="A287" s="67"/>
      <c r="B287" s="67"/>
      <c r="C287" s="70"/>
      <c r="D287" s="70"/>
      <c r="E287" s="67"/>
      <c r="F287" s="70"/>
      <c r="G287" s="70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customHeight="1">
      <c r="A288" s="67"/>
      <c r="B288" s="67"/>
      <c r="C288" s="70"/>
      <c r="D288" s="70"/>
      <c r="E288" s="67"/>
      <c r="F288" s="70"/>
      <c r="G288" s="70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customHeight="1">
      <c r="A289" s="67"/>
      <c r="B289" s="67"/>
      <c r="C289" s="70"/>
      <c r="D289" s="70"/>
      <c r="E289" s="67"/>
      <c r="F289" s="70"/>
      <c r="G289" s="70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customHeight="1">
      <c r="A290" s="67"/>
      <c r="B290" s="67"/>
      <c r="C290" s="70"/>
      <c r="D290" s="70"/>
      <c r="E290" s="67"/>
      <c r="F290" s="70"/>
      <c r="G290" s="70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customHeight="1">
      <c r="A291" s="67"/>
      <c r="B291" s="67"/>
      <c r="C291" s="70"/>
      <c r="D291" s="70"/>
      <c r="E291" s="67"/>
      <c r="F291" s="70"/>
      <c r="G291" s="70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customHeight="1">
      <c r="A292" s="67"/>
      <c r="B292" s="67"/>
      <c r="C292" s="70"/>
      <c r="D292" s="70"/>
      <c r="E292" s="67"/>
      <c r="F292" s="70"/>
      <c r="G292" s="70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customHeight="1">
      <c r="A293" s="67"/>
      <c r="B293" s="67"/>
      <c r="C293" s="70"/>
      <c r="D293" s="70"/>
      <c r="E293" s="67"/>
      <c r="F293" s="70"/>
      <c r="G293" s="70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customHeight="1">
      <c r="A294" s="67"/>
      <c r="B294" s="67"/>
      <c r="C294" s="70"/>
      <c r="D294" s="70"/>
      <c r="E294" s="67"/>
      <c r="F294" s="70"/>
      <c r="G294" s="70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customHeight="1">
      <c r="A295" s="67"/>
      <c r="B295" s="67"/>
      <c r="C295" s="70"/>
      <c r="D295" s="70"/>
      <c r="E295" s="67"/>
      <c r="F295" s="70"/>
      <c r="G295" s="70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customHeight="1">
      <c r="A296" s="67"/>
      <c r="B296" s="67"/>
      <c r="C296" s="70"/>
      <c r="D296" s="70"/>
      <c r="E296" s="67"/>
      <c r="F296" s="70"/>
      <c r="G296" s="70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customHeight="1">
      <c r="A297" s="67"/>
      <c r="B297" s="67"/>
      <c r="C297" s="70"/>
      <c r="D297" s="70"/>
      <c r="E297" s="67"/>
      <c r="F297" s="70"/>
      <c r="G297" s="70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customHeight="1">
      <c r="A298" s="67"/>
      <c r="B298" s="67"/>
      <c r="C298" s="70"/>
      <c r="D298" s="70"/>
      <c r="E298" s="67"/>
      <c r="F298" s="70"/>
      <c r="G298" s="70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customHeight="1">
      <c r="A299" s="67"/>
      <c r="B299" s="67"/>
      <c r="C299" s="70"/>
      <c r="D299" s="70"/>
      <c r="E299" s="67"/>
      <c r="F299" s="70"/>
      <c r="G299" s="70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customHeight="1">
      <c r="A300" s="67"/>
      <c r="B300" s="67"/>
      <c r="C300" s="70"/>
      <c r="D300" s="70"/>
      <c r="E300" s="67"/>
      <c r="F300" s="70"/>
      <c r="G300" s="70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customHeight="1">
      <c r="A301" s="67"/>
      <c r="B301" s="67"/>
      <c r="C301" s="70"/>
      <c r="D301" s="70"/>
      <c r="E301" s="67"/>
      <c r="F301" s="70"/>
      <c r="G301" s="70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customHeight="1">
      <c r="A302" s="67"/>
      <c r="B302" s="67"/>
      <c r="C302" s="70"/>
      <c r="D302" s="70"/>
      <c r="E302" s="67"/>
      <c r="F302" s="70"/>
      <c r="G302" s="70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customHeight="1">
      <c r="A303" s="67"/>
      <c r="B303" s="67"/>
      <c r="C303" s="70"/>
      <c r="D303" s="70"/>
      <c r="E303" s="67"/>
      <c r="F303" s="70"/>
      <c r="G303" s="70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customHeight="1">
      <c r="A304" s="67"/>
      <c r="B304" s="67"/>
      <c r="C304" s="70"/>
      <c r="D304" s="70"/>
      <c r="E304" s="67"/>
      <c r="F304" s="70"/>
      <c r="G304" s="70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customHeight="1">
      <c r="A305" s="67"/>
      <c r="B305" s="67"/>
      <c r="C305" s="70"/>
      <c r="D305" s="70"/>
      <c r="E305" s="67"/>
      <c r="F305" s="70"/>
      <c r="G305" s="70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customHeight="1">
      <c r="A306" s="67"/>
      <c r="B306" s="67"/>
      <c r="C306" s="70"/>
      <c r="D306" s="70"/>
      <c r="E306" s="67"/>
      <c r="F306" s="70"/>
      <c r="G306" s="70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customHeight="1">
      <c r="A307" s="67"/>
      <c r="B307" s="67"/>
      <c r="C307" s="70"/>
      <c r="D307" s="70"/>
      <c r="E307" s="67"/>
      <c r="F307" s="70"/>
      <c r="G307" s="70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customHeight="1">
      <c r="A308" s="67"/>
      <c r="B308" s="67"/>
      <c r="C308" s="70"/>
      <c r="D308" s="70"/>
      <c r="E308" s="67"/>
      <c r="F308" s="70"/>
      <c r="G308" s="70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customHeight="1">
      <c r="A309" s="67"/>
      <c r="B309" s="67"/>
      <c r="C309" s="70"/>
      <c r="D309" s="70"/>
      <c r="E309" s="67"/>
      <c r="F309" s="70"/>
      <c r="G309" s="70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customHeight="1">
      <c r="A310" s="67"/>
      <c r="B310" s="67"/>
      <c r="C310" s="70"/>
      <c r="D310" s="70"/>
      <c r="E310" s="67"/>
      <c r="F310" s="70"/>
      <c r="G310" s="70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customHeight="1">
      <c r="A311" s="67"/>
      <c r="B311" s="67"/>
      <c r="C311" s="70"/>
      <c r="D311" s="70"/>
      <c r="E311" s="67"/>
      <c r="F311" s="70"/>
      <c r="G311" s="70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customHeight="1">
      <c r="A312" s="67"/>
      <c r="B312" s="67"/>
      <c r="C312" s="70"/>
      <c r="D312" s="70"/>
      <c r="E312" s="67"/>
      <c r="F312" s="70"/>
      <c r="G312" s="70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customHeight="1">
      <c r="A313" s="67"/>
      <c r="B313" s="67"/>
      <c r="C313" s="70"/>
      <c r="D313" s="70"/>
      <c r="E313" s="67"/>
      <c r="F313" s="70"/>
      <c r="G313" s="70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customHeight="1">
      <c r="A314" s="67"/>
      <c r="B314" s="67"/>
      <c r="C314" s="70"/>
      <c r="D314" s="70"/>
      <c r="E314" s="67"/>
      <c r="F314" s="70"/>
      <c r="G314" s="70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customHeight="1">
      <c r="A315" s="67"/>
      <c r="B315" s="67"/>
      <c r="C315" s="70"/>
      <c r="D315" s="70"/>
      <c r="E315" s="67"/>
      <c r="F315" s="70"/>
      <c r="G315" s="70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customHeight="1">
      <c r="A316" s="67"/>
      <c r="B316" s="67"/>
      <c r="C316" s="70"/>
      <c r="D316" s="70"/>
      <c r="E316" s="67"/>
      <c r="F316" s="70"/>
      <c r="G316" s="70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customHeight="1">
      <c r="A317" s="67"/>
      <c r="B317" s="67"/>
      <c r="C317" s="70"/>
      <c r="D317" s="70"/>
      <c r="E317" s="67"/>
      <c r="F317" s="70"/>
      <c r="G317" s="70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customHeight="1">
      <c r="A318" s="67"/>
      <c r="B318" s="67"/>
      <c r="C318" s="70"/>
      <c r="D318" s="70"/>
      <c r="E318" s="67"/>
      <c r="F318" s="70"/>
      <c r="G318" s="70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customHeight="1">
      <c r="A319" s="67"/>
      <c r="B319" s="67"/>
      <c r="C319" s="70"/>
      <c r="D319" s="70"/>
      <c r="E319" s="67"/>
      <c r="F319" s="70"/>
      <c r="G319" s="70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customHeight="1">
      <c r="A320" s="67"/>
      <c r="B320" s="67"/>
      <c r="C320" s="70"/>
      <c r="D320" s="70"/>
      <c r="E320" s="67"/>
      <c r="F320" s="70"/>
      <c r="G320" s="70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customHeight="1">
      <c r="A321" s="67"/>
      <c r="B321" s="67"/>
      <c r="C321" s="70"/>
      <c r="D321" s="70"/>
      <c r="E321" s="67"/>
      <c r="F321" s="70"/>
      <c r="G321" s="70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customHeight="1">
      <c r="A322" s="67"/>
      <c r="B322" s="67"/>
      <c r="C322" s="70"/>
      <c r="D322" s="70"/>
      <c r="E322" s="67"/>
      <c r="F322" s="70"/>
      <c r="G322" s="70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1:H1"/>
    <mergeCell ref="I1:J1"/>
    <mergeCell ref="B8:J8"/>
  </mergeCells>
  <dataValidations>
    <dataValidation type="list" allowBlank="1" showErrorMessage="1" sqref="I10:I35 I37:I74 I76:I109 I111:I122">
      <formula1>$I$2:$I$5</formula1>
    </dataValidation>
    <dataValidation type="list" allowBlank="1" showErrorMessage="1" sqref="H10:H74 H76:H109 H111:H122">
      <formula1>$G$2:$G$5</formula1>
    </dataValidation>
  </dataValidations>
  <hyperlinks>
    <hyperlink r:id="rId1" ref="J30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 outlineLevelRow="2"/>
  <cols>
    <col customWidth="1" min="2" max="2" width="39.14"/>
    <col customWidth="1" min="3" max="3" width="29.86"/>
    <col customWidth="1" min="4" max="4" width="27.14"/>
    <col customWidth="1" min="5" max="5" width="18.0"/>
    <col customWidth="1" min="6" max="6" width="35.43"/>
    <col customWidth="1" min="7" max="7" width="60.29"/>
    <col customWidth="1" min="8" max="10" width="19.71"/>
  </cols>
  <sheetData>
    <row r="1">
      <c r="A1" s="67"/>
      <c r="B1" s="68" t="s">
        <v>108</v>
      </c>
      <c r="C1" s="104" t="s">
        <v>370</v>
      </c>
      <c r="D1" s="70"/>
      <c r="E1" s="67"/>
      <c r="F1" s="70"/>
      <c r="G1" s="71" t="s">
        <v>110</v>
      </c>
      <c r="H1" s="19"/>
      <c r="I1" s="72" t="s">
        <v>111</v>
      </c>
      <c r="J1" s="19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68" t="s">
        <v>112</v>
      </c>
      <c r="C2" s="69" t="s">
        <v>257</v>
      </c>
      <c r="D2" s="70"/>
      <c r="E2" s="67"/>
      <c r="F2" s="70"/>
      <c r="G2" s="73" t="str">
        <f>Glossary!D2</f>
        <v>Passed</v>
      </c>
      <c r="H2" s="74">
        <f t="shared" ref="H2:H5" si="1">COUNTIF($H$10:H625,G2)</f>
        <v>0</v>
      </c>
      <c r="I2" s="75" t="str">
        <f>Glossary!F2</f>
        <v>Done</v>
      </c>
      <c r="J2" s="74">
        <f t="shared" ref="J2:J5" si="2">COUNTIF($I$10:I625,I2)</f>
        <v>0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8" t="s">
        <v>114</v>
      </c>
      <c r="C3" s="76">
        <f>COUNTA(G10:G625)</f>
        <v>9</v>
      </c>
      <c r="D3" s="70"/>
      <c r="E3" s="67"/>
      <c r="F3" s="70"/>
      <c r="G3" s="73" t="str">
        <f>Glossary!D3</f>
        <v>Failed</v>
      </c>
      <c r="H3" s="74">
        <f t="shared" si="1"/>
        <v>0</v>
      </c>
      <c r="I3" s="75" t="str">
        <f>Glossary!F3</f>
        <v>Open</v>
      </c>
      <c r="J3" s="74">
        <f t="shared" si="2"/>
        <v>0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8" t="s">
        <v>115</v>
      </c>
      <c r="C4" s="77">
        <f>($H$2+$H$3)/$C$3</f>
        <v>0</v>
      </c>
      <c r="D4" s="70"/>
      <c r="E4" s="67"/>
      <c r="F4" s="70"/>
      <c r="G4" s="73" t="str">
        <f>Glossary!D4</f>
        <v>Pending</v>
      </c>
      <c r="H4" s="74">
        <f t="shared" si="1"/>
        <v>0</v>
      </c>
      <c r="I4" s="75" t="str">
        <f>Glossary!F4</f>
        <v>Pending</v>
      </c>
      <c r="J4" s="74">
        <f t="shared" si="2"/>
        <v>0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7"/>
      <c r="B5" s="68" t="s">
        <v>116</v>
      </c>
      <c r="C5" s="69"/>
      <c r="D5" s="70"/>
      <c r="E5" s="67"/>
      <c r="F5" s="70"/>
      <c r="G5" s="73" t="str">
        <f>Glossary!D5</f>
        <v>N/A</v>
      </c>
      <c r="H5" s="74">
        <f t="shared" si="1"/>
        <v>98</v>
      </c>
      <c r="I5" s="75" t="str">
        <f>Glossary!F5</f>
        <v>Rejected</v>
      </c>
      <c r="J5" s="74">
        <f t="shared" si="2"/>
        <v>0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/>
      <c r="C6" s="70"/>
      <c r="D6" s="70"/>
      <c r="E6" s="67"/>
      <c r="F6" s="70"/>
      <c r="G6" s="70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78" t="s">
        <v>117</v>
      </c>
      <c r="B7" s="78" t="s">
        <v>118</v>
      </c>
      <c r="C7" s="79" t="s">
        <v>119</v>
      </c>
      <c r="D7" s="79" t="s">
        <v>120</v>
      </c>
      <c r="E7" s="78" t="s">
        <v>121</v>
      </c>
      <c r="F7" s="79" t="s">
        <v>122</v>
      </c>
      <c r="G7" s="79" t="s">
        <v>123</v>
      </c>
      <c r="H7" s="78" t="s">
        <v>124</v>
      </c>
      <c r="I7" s="78" t="s">
        <v>111</v>
      </c>
      <c r="J7" s="78" t="s">
        <v>125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1"/>
      <c r="B8" s="82" t="s">
        <v>126</v>
      </c>
      <c r="C8" s="83"/>
      <c r="D8" s="83"/>
      <c r="E8" s="83"/>
      <c r="F8" s="83"/>
      <c r="G8" s="83"/>
      <c r="H8" s="83"/>
      <c r="I8" s="83"/>
      <c r="J8" s="84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85"/>
      <c r="B9" s="108" t="s">
        <v>371</v>
      </c>
      <c r="C9" s="87"/>
      <c r="D9" s="87"/>
      <c r="E9" s="87"/>
      <c r="F9" s="87"/>
      <c r="G9" s="87"/>
      <c r="H9" s="87"/>
      <c r="I9" s="87"/>
      <c r="J9" s="8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outlineLevel="1">
      <c r="A10" s="88"/>
      <c r="B10" s="109" t="s">
        <v>128</v>
      </c>
      <c r="C10" s="90"/>
      <c r="D10" s="90"/>
      <c r="E10" s="91"/>
      <c r="F10" s="90"/>
      <c r="G10" s="90"/>
      <c r="H10" s="91"/>
      <c r="I10" s="91"/>
      <c r="J10" s="91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outlineLevel="2">
      <c r="A11" s="92" t="str">
        <f t="shared" ref="A11:A21" si="3">IF(G11="","",$C$2&amp;"-"&amp;SUBTOTAL(3,$G$10:G11))</f>
        <v>Categories-1</v>
      </c>
      <c r="B11" s="110" t="s">
        <v>372</v>
      </c>
      <c r="C11" s="110" t="s">
        <v>373</v>
      </c>
      <c r="D11" s="110" t="s">
        <v>373</v>
      </c>
      <c r="E11" s="94"/>
      <c r="F11" s="110" t="s">
        <v>374</v>
      </c>
      <c r="G11" s="104" t="s">
        <v>375</v>
      </c>
      <c r="H11" s="69" t="s">
        <v>57</v>
      </c>
      <c r="I11" s="94"/>
      <c r="J11" s="94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outlineLevel="2">
      <c r="A12" s="92" t="str">
        <f t="shared" si="3"/>
        <v/>
      </c>
      <c r="B12" s="95"/>
      <c r="C12" s="95"/>
      <c r="D12" s="95"/>
      <c r="E12" s="94"/>
      <c r="F12" s="95"/>
      <c r="G12" s="69"/>
      <c r="H12" s="69" t="s">
        <v>57</v>
      </c>
      <c r="I12" s="94"/>
      <c r="J12" s="94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outlineLevel="2">
      <c r="A13" s="92" t="str">
        <f t="shared" si="3"/>
        <v/>
      </c>
      <c r="B13" s="95"/>
      <c r="C13" s="95"/>
      <c r="D13" s="95"/>
      <c r="E13" s="94"/>
      <c r="F13" s="95"/>
      <c r="G13" s="69"/>
      <c r="H13" s="69" t="s">
        <v>57</v>
      </c>
      <c r="I13" s="94"/>
      <c r="J13" s="94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outlineLevel="2">
      <c r="A14" s="92" t="str">
        <f t="shared" si="3"/>
        <v/>
      </c>
      <c r="B14" s="95"/>
      <c r="C14" s="96"/>
      <c r="D14" s="96"/>
      <c r="E14" s="94"/>
      <c r="F14" s="96"/>
      <c r="G14" s="69"/>
      <c r="H14" s="69" t="s">
        <v>57</v>
      </c>
      <c r="I14" s="94"/>
      <c r="J14" s="9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outlineLevel="2">
      <c r="A15" s="92" t="str">
        <f t="shared" si="3"/>
        <v/>
      </c>
      <c r="B15" s="95"/>
      <c r="C15" s="93"/>
      <c r="D15" s="69"/>
      <c r="E15" s="98"/>
      <c r="F15" s="69"/>
      <c r="G15" s="99"/>
      <c r="H15" s="69" t="s">
        <v>57</v>
      </c>
      <c r="I15" s="94"/>
      <c r="J15" s="69" t="s">
        <v>376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outlineLevel="2">
      <c r="A16" s="92" t="str">
        <f t="shared" si="3"/>
        <v/>
      </c>
      <c r="B16" s="95"/>
      <c r="C16" s="95"/>
      <c r="D16" s="93"/>
      <c r="E16" s="98"/>
      <c r="F16" s="93"/>
      <c r="G16" s="99"/>
      <c r="H16" s="69" t="s">
        <v>57</v>
      </c>
      <c r="I16" s="94"/>
      <c r="J16" s="94" t="s">
        <v>143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outlineLevel="2">
      <c r="A17" s="92" t="str">
        <f t="shared" si="3"/>
        <v/>
      </c>
      <c r="B17" s="96"/>
      <c r="C17" s="96"/>
      <c r="D17" s="96"/>
      <c r="E17" s="98"/>
      <c r="F17" s="96"/>
      <c r="G17" s="99"/>
      <c r="H17" s="69" t="s">
        <v>57</v>
      </c>
      <c r="I17" s="94"/>
      <c r="J17" s="94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31.5" customHeight="1" outlineLevel="2">
      <c r="A18" s="92" t="str">
        <f t="shared" si="3"/>
        <v/>
      </c>
      <c r="B18" s="100"/>
      <c r="C18" s="100"/>
      <c r="D18" s="100"/>
      <c r="E18" s="98"/>
      <c r="F18" s="93"/>
      <c r="G18" s="99"/>
      <c r="H18" s="69" t="s">
        <v>57</v>
      </c>
      <c r="I18" s="94"/>
      <c r="J18" s="94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outlineLevel="2">
      <c r="A19" s="92" t="str">
        <f t="shared" si="3"/>
        <v/>
      </c>
      <c r="B19" s="101"/>
      <c r="C19" s="101"/>
      <c r="D19" s="101"/>
      <c r="E19" s="98"/>
      <c r="F19" s="96"/>
      <c r="G19" s="99"/>
      <c r="H19" s="69" t="s">
        <v>57</v>
      </c>
      <c r="I19" s="94"/>
      <c r="J19" s="94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outlineLevel="1">
      <c r="A20" s="92" t="str">
        <f t="shared" si="3"/>
        <v/>
      </c>
      <c r="B20" s="109" t="s">
        <v>83</v>
      </c>
      <c r="C20" s="90"/>
      <c r="D20" s="90"/>
      <c r="E20" s="91"/>
      <c r="F20" s="90"/>
      <c r="G20" s="90"/>
      <c r="H20" s="91"/>
      <c r="I20" s="91"/>
      <c r="J20" s="91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63.0" customHeight="1" outlineLevel="2">
      <c r="A21" s="92" t="str">
        <f t="shared" si="3"/>
        <v/>
      </c>
      <c r="B21" s="110" t="s">
        <v>377</v>
      </c>
      <c r="C21" s="110" t="s">
        <v>378</v>
      </c>
      <c r="D21" s="110" t="s">
        <v>379</v>
      </c>
      <c r="E21" s="99"/>
      <c r="F21" s="93"/>
      <c r="G21" s="99"/>
      <c r="H21" s="69" t="s">
        <v>57</v>
      </c>
      <c r="I21" s="94"/>
      <c r="J21" s="94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63.0" customHeight="1" outlineLevel="2">
      <c r="A22" s="92"/>
      <c r="B22" s="111"/>
      <c r="C22" s="111"/>
      <c r="D22" s="110" t="s">
        <v>380</v>
      </c>
      <c r="E22" s="99"/>
      <c r="F22" s="93"/>
      <c r="G22" s="99"/>
      <c r="H22" s="69"/>
      <c r="I22" s="94"/>
      <c r="J22" s="94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63.0" customHeight="1" outlineLevel="2">
      <c r="A23" s="92"/>
      <c r="B23" s="111"/>
      <c r="C23" s="111"/>
      <c r="D23" s="110" t="s">
        <v>381</v>
      </c>
      <c r="E23" s="99"/>
      <c r="F23" s="93"/>
      <c r="G23" s="99"/>
      <c r="H23" s="69"/>
      <c r="I23" s="94"/>
      <c r="J23" s="94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63.0" customHeight="1" outlineLevel="2">
      <c r="A24" s="92"/>
      <c r="B24" s="111"/>
      <c r="C24" s="111"/>
      <c r="D24" s="110" t="s">
        <v>382</v>
      </c>
      <c r="E24" s="99"/>
      <c r="F24" s="110" t="s">
        <v>382</v>
      </c>
      <c r="G24" s="99"/>
      <c r="H24" s="69"/>
      <c r="I24" s="94"/>
      <c r="J24" s="94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63.0" customHeight="1" outlineLevel="2">
      <c r="A25" s="92"/>
      <c r="B25" s="111"/>
      <c r="C25" s="111"/>
      <c r="D25" s="93"/>
      <c r="E25" s="99"/>
      <c r="F25" s="93"/>
      <c r="G25" s="99"/>
      <c r="H25" s="69"/>
      <c r="I25" s="94"/>
      <c r="J25" s="94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63.0" customHeight="1" outlineLevel="2">
      <c r="A26" s="92"/>
      <c r="B26" s="111"/>
      <c r="C26" s="111"/>
      <c r="D26" s="93"/>
      <c r="E26" s="99"/>
      <c r="F26" s="93"/>
      <c r="G26" s="99"/>
      <c r="H26" s="69"/>
      <c r="I26" s="94"/>
      <c r="J26" s="94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63.0" customHeight="1" outlineLevel="2">
      <c r="A27" s="92"/>
      <c r="B27" s="111"/>
      <c r="C27" s="111" t="s">
        <v>383</v>
      </c>
      <c r="D27" s="93"/>
      <c r="E27" s="99"/>
      <c r="F27" s="93"/>
      <c r="G27" s="99"/>
      <c r="H27" s="69"/>
      <c r="I27" s="94"/>
      <c r="J27" s="94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63.0" customHeight="1" outlineLevel="2">
      <c r="A28" s="92"/>
      <c r="B28" s="111" t="s">
        <v>384</v>
      </c>
      <c r="C28" s="111"/>
      <c r="D28" s="93"/>
      <c r="E28" s="99"/>
      <c r="F28" s="93"/>
      <c r="G28" s="99"/>
      <c r="H28" s="69"/>
      <c r="I28" s="94"/>
      <c r="J28" s="94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63.0" customHeight="1" outlineLevel="2">
      <c r="A29" s="92" t="str">
        <f t="shared" ref="A29:A31" si="4">IF(G29="","",$C$2&amp;"-"&amp;SUBTOTAL(3,$G$10:G29))</f>
        <v/>
      </c>
      <c r="B29" s="111" t="s">
        <v>385</v>
      </c>
      <c r="C29" s="95"/>
      <c r="D29" s="93"/>
      <c r="E29" s="99"/>
      <c r="F29" s="93"/>
      <c r="G29" s="99"/>
      <c r="H29" s="69" t="s">
        <v>57</v>
      </c>
      <c r="I29" s="94"/>
      <c r="J29" s="94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5.75" customHeight="1" outlineLevel="2">
      <c r="A30" s="92" t="str">
        <f t="shared" si="4"/>
        <v/>
      </c>
      <c r="B30" s="111"/>
      <c r="C30" s="96"/>
      <c r="D30" s="69"/>
      <c r="E30" s="99"/>
      <c r="F30" s="93"/>
      <c r="G30" s="99"/>
      <c r="H30" s="69" t="s">
        <v>57</v>
      </c>
      <c r="I30" s="94"/>
      <c r="J30" s="94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5.75" customHeight="1" outlineLevel="2">
      <c r="A31" s="92" t="str">
        <f t="shared" si="4"/>
        <v/>
      </c>
      <c r="B31" s="112"/>
      <c r="C31" s="113"/>
      <c r="D31" s="69"/>
      <c r="E31" s="99"/>
      <c r="F31" s="93"/>
      <c r="G31" s="99"/>
      <c r="H31" s="69" t="s">
        <v>57</v>
      </c>
      <c r="I31" s="94"/>
      <c r="J31" s="94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75" customHeight="1" outlineLevel="1">
      <c r="A32" s="92"/>
      <c r="B32" s="114" t="s">
        <v>386</v>
      </c>
      <c r="C32" s="115" t="s">
        <v>387</v>
      </c>
      <c r="D32" s="90"/>
      <c r="E32" s="91"/>
      <c r="F32" s="116"/>
      <c r="G32" s="90"/>
      <c r="H32" s="91"/>
      <c r="I32" s="91"/>
      <c r="J32" s="91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75" customHeight="1" outlineLevel="1" collapsed="1">
      <c r="A33" s="92" t="str">
        <f t="shared" ref="A33:A35" si="5">IF(G33="","",$C$2&amp;"-"&amp;SUBTOTAL(3,$G$10:G33))</f>
        <v/>
      </c>
      <c r="B33" s="109" t="s">
        <v>388</v>
      </c>
      <c r="C33" s="115" t="s">
        <v>389</v>
      </c>
      <c r="D33" s="90"/>
      <c r="E33" s="91"/>
      <c r="F33" s="90"/>
      <c r="G33" s="90"/>
      <c r="H33" s="91"/>
      <c r="I33" s="91"/>
      <c r="J33" s="91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63.0" hidden="1" customHeight="1" outlineLevel="2">
      <c r="A34" s="92" t="str">
        <f t="shared" si="5"/>
        <v/>
      </c>
      <c r="B34" s="110"/>
      <c r="C34" s="110" t="s">
        <v>387</v>
      </c>
      <c r="D34" s="93"/>
      <c r="E34" s="69"/>
      <c r="F34" s="93"/>
      <c r="G34" s="69"/>
      <c r="H34" s="69" t="s">
        <v>57</v>
      </c>
      <c r="I34" s="94"/>
      <c r="J34" s="94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hidden="1" customHeight="1" outlineLevel="2">
      <c r="A35" s="92" t="str">
        <f t="shared" si="5"/>
        <v/>
      </c>
      <c r="B35" s="110" t="s">
        <v>390</v>
      </c>
      <c r="C35" s="110"/>
      <c r="D35" s="96"/>
      <c r="E35" s="69"/>
      <c r="F35" s="96"/>
      <c r="G35" s="69"/>
      <c r="H35" s="69" t="s">
        <v>57</v>
      </c>
      <c r="I35" s="94"/>
      <c r="J35" s="94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hidden="1" customHeight="1" outlineLevel="2">
      <c r="A36" s="92"/>
      <c r="B36" s="95"/>
      <c r="C36" s="95"/>
      <c r="D36" s="93"/>
      <c r="E36" s="69"/>
      <c r="F36" s="93"/>
      <c r="G36" s="69"/>
      <c r="H36" s="69" t="s">
        <v>57</v>
      </c>
      <c r="I36" s="94"/>
      <c r="J36" s="94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hidden="1" customHeight="1" outlineLevel="2">
      <c r="A37" s="92" t="str">
        <f t="shared" ref="A37:A38" si="6">IF(G37="","",$C$2&amp;"-"&amp;SUBTOTAL(3,$G$10:G37))</f>
        <v/>
      </c>
      <c r="B37" s="95"/>
      <c r="C37" s="95"/>
      <c r="D37" s="96"/>
      <c r="E37" s="69"/>
      <c r="F37" s="96"/>
      <c r="G37" s="69"/>
      <c r="H37" s="69" t="s">
        <v>57</v>
      </c>
      <c r="I37" s="94"/>
      <c r="J37" s="94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63.0" hidden="1" customHeight="1" outlineLevel="2">
      <c r="A38" s="92" t="str">
        <f t="shared" si="6"/>
        <v/>
      </c>
      <c r="B38" s="95"/>
      <c r="C38" s="96"/>
      <c r="D38" s="93"/>
      <c r="E38" s="69"/>
      <c r="F38" s="93"/>
      <c r="G38" s="69"/>
      <c r="H38" s="69" t="s">
        <v>57</v>
      </c>
      <c r="I38" s="94"/>
      <c r="J38" s="94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hidden="1" customHeight="1" outlineLevel="2">
      <c r="A39" s="92"/>
      <c r="B39" s="95"/>
      <c r="C39" s="96"/>
      <c r="D39" s="96"/>
      <c r="E39" s="69"/>
      <c r="F39" s="96"/>
      <c r="G39" s="69"/>
      <c r="H39" s="69" t="s">
        <v>57</v>
      </c>
      <c r="I39" s="94"/>
      <c r="J39" s="94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hidden="1" customHeight="1" outlineLevel="2">
      <c r="A40" s="92" t="str">
        <f t="shared" ref="A40:A55" si="7">IF(G40="","",$C$2&amp;"-"&amp;SUBTOTAL(3,$G$10:G40))</f>
        <v/>
      </c>
      <c r="B40" s="96"/>
      <c r="C40" s="69"/>
      <c r="D40" s="69"/>
      <c r="E40" s="69"/>
      <c r="F40" s="93"/>
      <c r="G40" s="69"/>
      <c r="H40" s="69" t="s">
        <v>57</v>
      </c>
      <c r="I40" s="94"/>
      <c r="J40" s="94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hidden="1" customHeight="1" outlineLevel="2">
      <c r="A41" s="92" t="str">
        <f t="shared" si="7"/>
        <v/>
      </c>
      <c r="B41" s="93"/>
      <c r="C41" s="93"/>
      <c r="D41" s="69"/>
      <c r="E41" s="69"/>
      <c r="F41" s="93"/>
      <c r="G41" s="69"/>
      <c r="H41" s="69" t="s">
        <v>57</v>
      </c>
      <c r="I41" s="94"/>
      <c r="J41" s="94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hidden="1" customHeight="1" outlineLevel="2">
      <c r="A42" s="92" t="str">
        <f t="shared" si="7"/>
        <v/>
      </c>
      <c r="B42" s="95"/>
      <c r="C42" s="95"/>
      <c r="D42" s="69"/>
      <c r="E42" s="69"/>
      <c r="F42" s="93"/>
      <c r="G42" s="69"/>
      <c r="H42" s="69" t="s">
        <v>57</v>
      </c>
      <c r="I42" s="94"/>
      <c r="J42" s="94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hidden="1" customHeight="1" outlineLevel="2">
      <c r="A43" s="92" t="str">
        <f t="shared" si="7"/>
        <v/>
      </c>
      <c r="B43" s="96"/>
      <c r="C43" s="96"/>
      <c r="D43" s="69"/>
      <c r="E43" s="69"/>
      <c r="F43" s="93"/>
      <c r="G43" s="69"/>
      <c r="H43" s="69" t="s">
        <v>57</v>
      </c>
      <c r="I43" s="94"/>
      <c r="J43" s="94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customHeight="1" collapsed="1">
      <c r="A44" s="92" t="str">
        <f t="shared" si="7"/>
        <v/>
      </c>
      <c r="B44" s="108" t="s">
        <v>391</v>
      </c>
      <c r="C44" s="87"/>
      <c r="D44" s="87"/>
      <c r="E44" s="87"/>
      <c r="F44" s="87"/>
      <c r="G44" s="87"/>
      <c r="H44" s="69"/>
      <c r="I44" s="87"/>
      <c r="J44" s="8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hidden="1" customHeight="1" outlineLevel="1">
      <c r="A45" s="92" t="str">
        <f t="shared" si="7"/>
        <v/>
      </c>
      <c r="B45" s="109" t="s">
        <v>128</v>
      </c>
      <c r="C45" s="90"/>
      <c r="D45" s="90"/>
      <c r="E45" s="91"/>
      <c r="F45" s="90"/>
      <c r="G45" s="90"/>
      <c r="H45" s="91"/>
      <c r="I45" s="91"/>
      <c r="J45" s="91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hidden="1" customHeight="1" outlineLevel="2">
      <c r="A46" s="92" t="str">
        <f t="shared" si="7"/>
        <v>Categories-2</v>
      </c>
      <c r="B46" s="110" t="s">
        <v>392</v>
      </c>
      <c r="C46" s="93"/>
      <c r="D46" s="93"/>
      <c r="E46" s="94"/>
      <c r="F46" s="93"/>
      <c r="G46" s="104" t="s">
        <v>393</v>
      </c>
      <c r="H46" s="69" t="s">
        <v>57</v>
      </c>
      <c r="I46" s="94"/>
      <c r="J46" s="94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hidden="1" customHeight="1" outlineLevel="2">
      <c r="A47" s="92" t="str">
        <f t="shared" si="7"/>
        <v>Categories-3</v>
      </c>
      <c r="B47" s="95"/>
      <c r="C47" s="95"/>
      <c r="D47" s="95"/>
      <c r="E47" s="94"/>
      <c r="F47" s="95"/>
      <c r="G47" s="104" t="s">
        <v>394</v>
      </c>
      <c r="H47" s="69" t="s">
        <v>57</v>
      </c>
      <c r="I47" s="94"/>
      <c r="J47" s="94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hidden="1" customHeight="1" outlineLevel="2">
      <c r="A48" s="92" t="str">
        <f t="shared" si="7"/>
        <v>Categories-4</v>
      </c>
      <c r="B48" s="95"/>
      <c r="C48" s="95"/>
      <c r="D48" s="95"/>
      <c r="E48" s="94"/>
      <c r="F48" s="95"/>
      <c r="G48" s="104" t="s">
        <v>395</v>
      </c>
      <c r="H48" s="69" t="s">
        <v>57</v>
      </c>
      <c r="I48" s="94"/>
      <c r="J48" s="94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hidden="1" customHeight="1" outlineLevel="2">
      <c r="A49" s="92" t="str">
        <f t="shared" si="7"/>
        <v>Categories-5</v>
      </c>
      <c r="B49" s="95"/>
      <c r="C49" s="95"/>
      <c r="D49" s="95"/>
      <c r="E49" s="94"/>
      <c r="F49" s="95"/>
      <c r="G49" s="104" t="s">
        <v>396</v>
      </c>
      <c r="H49" s="69" t="s">
        <v>57</v>
      </c>
      <c r="I49" s="94"/>
      <c r="J49" s="9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hidden="1" customHeight="1" outlineLevel="2">
      <c r="A50" s="92" t="str">
        <f t="shared" si="7"/>
        <v>Categories-6</v>
      </c>
      <c r="B50" s="95"/>
      <c r="C50" s="96"/>
      <c r="D50" s="96"/>
      <c r="E50" s="94"/>
      <c r="F50" s="96"/>
      <c r="G50" s="104" t="s">
        <v>397</v>
      </c>
      <c r="H50" s="69" t="s">
        <v>57</v>
      </c>
      <c r="I50" s="94"/>
      <c r="J50" s="97" t="s">
        <v>179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47.25" hidden="1" customHeight="1" outlineLevel="2">
      <c r="A51" s="92" t="str">
        <f t="shared" si="7"/>
        <v/>
      </c>
      <c r="B51" s="111" t="s">
        <v>180</v>
      </c>
      <c r="C51" s="110" t="s">
        <v>398</v>
      </c>
      <c r="D51" s="93"/>
      <c r="E51" s="94"/>
      <c r="F51" s="93"/>
      <c r="G51" s="69"/>
      <c r="H51" s="69" t="s">
        <v>57</v>
      </c>
      <c r="I51" s="94"/>
      <c r="J51" s="94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hidden="1" customHeight="1" outlineLevel="2">
      <c r="A52" s="92" t="str">
        <f t="shared" si="7"/>
        <v>Categories-7</v>
      </c>
      <c r="B52" s="95"/>
      <c r="C52" s="111" t="s">
        <v>399</v>
      </c>
      <c r="D52" s="96"/>
      <c r="E52" s="98"/>
      <c r="F52" s="96"/>
      <c r="G52" s="113" t="s">
        <v>400</v>
      </c>
      <c r="H52" s="69" t="s">
        <v>57</v>
      </c>
      <c r="I52" s="94"/>
      <c r="J52" s="94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hidden="1" customHeight="1" outlineLevel="2">
      <c r="A53" s="92" t="str">
        <f t="shared" si="7"/>
        <v/>
      </c>
      <c r="B53" s="96"/>
      <c r="C53" s="96"/>
      <c r="D53" s="96"/>
      <c r="E53" s="98"/>
      <c r="F53" s="93"/>
      <c r="G53" s="99"/>
      <c r="H53" s="69" t="s">
        <v>57</v>
      </c>
      <c r="I53" s="94"/>
      <c r="J53" s="94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hidden="1" customHeight="1" outlineLevel="1">
      <c r="A54" s="92" t="str">
        <f t="shared" si="7"/>
        <v/>
      </c>
      <c r="B54" s="109" t="s">
        <v>401</v>
      </c>
      <c r="C54" s="90"/>
      <c r="D54" s="90"/>
      <c r="E54" s="91"/>
      <c r="F54" s="90"/>
      <c r="G54" s="90"/>
      <c r="H54" s="91"/>
      <c r="I54" s="91"/>
      <c r="J54" s="91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hidden="1" customHeight="1" outlineLevel="2">
      <c r="A55" s="92" t="str">
        <f t="shared" si="7"/>
        <v>Categories-8</v>
      </c>
      <c r="B55" s="110" t="s">
        <v>402</v>
      </c>
      <c r="C55" s="110" t="s">
        <v>403</v>
      </c>
      <c r="D55" s="113" t="s">
        <v>404</v>
      </c>
      <c r="E55" s="99"/>
      <c r="F55" s="104" t="s">
        <v>405</v>
      </c>
      <c r="G55" s="113" t="s">
        <v>406</v>
      </c>
      <c r="H55" s="69" t="s">
        <v>57</v>
      </c>
      <c r="I55" s="94"/>
      <c r="J55" s="94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hidden="1" customHeight="1" outlineLevel="2">
      <c r="A56" s="92"/>
      <c r="B56" s="95"/>
      <c r="C56" s="110"/>
      <c r="D56" s="113" t="s">
        <v>407</v>
      </c>
      <c r="E56" s="99"/>
      <c r="F56" s="104" t="s">
        <v>408</v>
      </c>
      <c r="G56" s="113" t="s">
        <v>406</v>
      </c>
      <c r="H56" s="69"/>
      <c r="I56" s="94"/>
      <c r="J56" s="94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hidden="1" customHeight="1" outlineLevel="2">
      <c r="A57" s="92"/>
      <c r="B57" s="95"/>
      <c r="C57" s="110"/>
      <c r="D57" s="99"/>
      <c r="E57" s="99"/>
      <c r="F57" s="69"/>
      <c r="G57" s="99"/>
      <c r="H57" s="69"/>
      <c r="I57" s="94"/>
      <c r="J57" s="94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hidden="1" customHeight="1" outlineLevel="2">
      <c r="A58" s="92"/>
      <c r="B58" s="95"/>
      <c r="C58" s="110"/>
      <c r="D58" s="99"/>
      <c r="E58" s="99"/>
      <c r="F58" s="69"/>
      <c r="G58" s="99"/>
      <c r="H58" s="69"/>
      <c r="I58" s="94"/>
      <c r="J58" s="94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hidden="1" customHeight="1" outlineLevel="2">
      <c r="A59" s="92"/>
      <c r="B59" s="95"/>
      <c r="C59" s="110"/>
      <c r="D59" s="99"/>
      <c r="E59" s="99"/>
      <c r="F59" s="69"/>
      <c r="G59" s="99"/>
      <c r="H59" s="69"/>
      <c r="I59" s="94"/>
      <c r="J59" s="94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hidden="1" customHeight="1" outlineLevel="2">
      <c r="A60" s="92"/>
      <c r="B60" s="95"/>
      <c r="C60" s="110"/>
      <c r="D60" s="99"/>
      <c r="E60" s="99"/>
      <c r="F60" s="69"/>
      <c r="G60" s="99"/>
      <c r="H60" s="69"/>
      <c r="I60" s="94"/>
      <c r="J60" s="94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hidden="1" customHeight="1" outlineLevel="2">
      <c r="A61" s="92"/>
      <c r="B61" s="95"/>
      <c r="C61" s="110"/>
      <c r="D61" s="99"/>
      <c r="E61" s="99"/>
      <c r="F61" s="69"/>
      <c r="G61" s="99"/>
      <c r="H61" s="69"/>
      <c r="I61" s="94"/>
      <c r="J61" s="94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hidden="1" customHeight="1" outlineLevel="2">
      <c r="A62" s="92"/>
      <c r="B62" s="95"/>
      <c r="C62" s="110"/>
      <c r="D62" s="99"/>
      <c r="E62" s="99"/>
      <c r="F62" s="69"/>
      <c r="G62" s="99"/>
      <c r="H62" s="69"/>
      <c r="I62" s="94"/>
      <c r="J62" s="94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hidden="1" customHeight="1" outlineLevel="2">
      <c r="A63" s="92" t="str">
        <f>IF(G63="","",$C$2&amp;"-"&amp;SUBTOTAL(3,$G$10:G63))</f>
        <v/>
      </c>
      <c r="B63" s="95"/>
      <c r="C63" s="110" t="s">
        <v>409</v>
      </c>
      <c r="D63" s="113" t="s">
        <v>410</v>
      </c>
      <c r="E63" s="99"/>
      <c r="F63" s="69"/>
      <c r="G63" s="99"/>
      <c r="H63" s="69" t="s">
        <v>57</v>
      </c>
      <c r="I63" s="94"/>
      <c r="J63" s="94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hidden="1" customHeight="1" outlineLevel="2">
      <c r="A64" s="92"/>
      <c r="B64" s="95"/>
      <c r="C64" s="93"/>
      <c r="D64" s="113" t="s">
        <v>197</v>
      </c>
      <c r="E64" s="99"/>
      <c r="F64" s="69"/>
      <c r="G64" s="99"/>
      <c r="H64" s="69"/>
      <c r="I64" s="94"/>
      <c r="J64" s="94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hidden="1" customHeight="1" outlineLevel="2">
      <c r="A65" s="92"/>
      <c r="B65" s="95"/>
      <c r="C65" s="93"/>
      <c r="D65" s="113" t="s">
        <v>411</v>
      </c>
      <c r="E65" s="99"/>
      <c r="F65" s="69"/>
      <c r="G65" s="99"/>
      <c r="H65" s="69"/>
      <c r="I65" s="94"/>
      <c r="J65" s="94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hidden="1" customHeight="1" outlineLevel="2">
      <c r="A66" s="92"/>
      <c r="B66" s="95"/>
      <c r="C66" s="93"/>
      <c r="D66" s="113" t="s">
        <v>200</v>
      </c>
      <c r="E66" s="99"/>
      <c r="F66" s="69"/>
      <c r="G66" s="99"/>
      <c r="H66" s="69"/>
      <c r="I66" s="94"/>
      <c r="J66" s="94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hidden="1" customHeight="1" outlineLevel="2">
      <c r="A67" s="92"/>
      <c r="B67" s="95"/>
      <c r="C67" s="93"/>
      <c r="D67" s="113" t="s">
        <v>412</v>
      </c>
      <c r="E67" s="99"/>
      <c r="F67" s="69"/>
      <c r="G67" s="99"/>
      <c r="H67" s="69"/>
      <c r="I67" s="94"/>
      <c r="J67" s="94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hidden="1" customHeight="1" outlineLevel="2">
      <c r="A68" s="92" t="str">
        <f t="shared" ref="A68:A93" si="8">IF(G68="","",$C$2&amp;"-"&amp;SUBTOTAL(3,$G$10:G68))</f>
        <v/>
      </c>
      <c r="B68" s="95"/>
      <c r="C68" s="93"/>
      <c r="D68" s="99"/>
      <c r="E68" s="99"/>
      <c r="F68" s="69"/>
      <c r="G68" s="99"/>
      <c r="H68" s="69" t="s">
        <v>57</v>
      </c>
      <c r="I68" s="94"/>
      <c r="J68" s="94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hidden="1" customHeight="1" outlineLevel="2">
      <c r="A69" s="92" t="str">
        <f t="shared" si="8"/>
        <v/>
      </c>
      <c r="B69" s="111" t="s">
        <v>413</v>
      </c>
      <c r="C69" s="111" t="s">
        <v>414</v>
      </c>
      <c r="D69" s="99"/>
      <c r="E69" s="99"/>
      <c r="F69" s="69"/>
      <c r="G69" s="99"/>
      <c r="H69" s="69" t="s">
        <v>57</v>
      </c>
      <c r="I69" s="94"/>
      <c r="J69" s="94" t="s">
        <v>196</v>
      </c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hidden="1" customHeight="1" outlineLevel="2">
      <c r="A70" s="92" t="str">
        <f t="shared" si="8"/>
        <v/>
      </c>
      <c r="B70" s="95"/>
      <c r="C70" s="111" t="s">
        <v>415</v>
      </c>
      <c r="D70" s="69"/>
      <c r="E70" s="69"/>
      <c r="F70" s="69"/>
      <c r="G70" s="99"/>
      <c r="H70" s="69" t="s">
        <v>57</v>
      </c>
      <c r="I70" s="94"/>
      <c r="J70" s="94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hidden="1" customHeight="1" outlineLevel="2">
      <c r="A71" s="92" t="str">
        <f t="shared" si="8"/>
        <v/>
      </c>
      <c r="B71" s="95"/>
      <c r="C71" s="95"/>
      <c r="D71" s="99"/>
      <c r="E71" s="69"/>
      <c r="F71" s="69"/>
      <c r="G71" s="69"/>
      <c r="H71" s="69" t="s">
        <v>57</v>
      </c>
      <c r="I71" s="94"/>
      <c r="J71" s="94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hidden="1" customHeight="1" outlineLevel="2">
      <c r="A72" s="92" t="str">
        <f t="shared" si="8"/>
        <v/>
      </c>
      <c r="B72" s="95"/>
      <c r="C72" s="95"/>
      <c r="D72" s="69"/>
      <c r="E72" s="69"/>
      <c r="F72" s="69"/>
      <c r="G72" s="69"/>
      <c r="H72" s="69" t="s">
        <v>57</v>
      </c>
      <c r="I72" s="94"/>
      <c r="J72" s="94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hidden="1" customHeight="1" outlineLevel="2">
      <c r="A73" s="92" t="str">
        <f t="shared" si="8"/>
        <v/>
      </c>
      <c r="B73" s="112" t="s">
        <v>416</v>
      </c>
      <c r="C73" s="112" t="s">
        <v>417</v>
      </c>
      <c r="D73" s="69"/>
      <c r="E73" s="69"/>
      <c r="F73" s="69"/>
      <c r="G73" s="69"/>
      <c r="H73" s="69" t="s">
        <v>57</v>
      </c>
      <c r="I73" s="94"/>
      <c r="J73" s="94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hidden="1" customHeight="1" outlineLevel="2">
      <c r="A74" s="92" t="str">
        <f t="shared" si="8"/>
        <v/>
      </c>
      <c r="B74" s="93"/>
      <c r="C74" s="112" t="s">
        <v>418</v>
      </c>
      <c r="D74" s="69"/>
      <c r="E74" s="69"/>
      <c r="F74" s="69"/>
      <c r="G74" s="69"/>
      <c r="H74" s="69" t="s">
        <v>57</v>
      </c>
      <c r="I74" s="94"/>
      <c r="J74" s="94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hidden="1" customHeight="1" outlineLevel="2">
      <c r="A75" s="92" t="str">
        <f t="shared" si="8"/>
        <v/>
      </c>
      <c r="B75" s="95"/>
      <c r="C75" s="96"/>
      <c r="D75" s="69"/>
      <c r="E75" s="69"/>
      <c r="F75" s="69"/>
      <c r="G75" s="69"/>
      <c r="H75" s="69" t="s">
        <v>57</v>
      </c>
      <c r="I75" s="94"/>
      <c r="J75" s="94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hidden="1" customHeight="1" outlineLevel="2">
      <c r="A76" s="92" t="str">
        <f t="shared" si="8"/>
        <v/>
      </c>
      <c r="B76" s="112" t="s">
        <v>419</v>
      </c>
      <c r="C76" s="96"/>
      <c r="D76" s="69"/>
      <c r="E76" s="69"/>
      <c r="F76" s="69"/>
      <c r="G76" s="69"/>
      <c r="H76" s="69" t="s">
        <v>57</v>
      </c>
      <c r="I76" s="94"/>
      <c r="J76" s="94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hidden="1" customHeight="1" outlineLevel="2">
      <c r="A77" s="92" t="str">
        <f t="shared" si="8"/>
        <v/>
      </c>
      <c r="B77" s="93"/>
      <c r="C77" s="93"/>
      <c r="D77" s="69"/>
      <c r="E77" s="69"/>
      <c r="F77" s="69"/>
      <c r="G77" s="69"/>
      <c r="H77" s="69" t="s">
        <v>57</v>
      </c>
      <c r="I77" s="94"/>
      <c r="J77" s="94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hidden="1" customHeight="1" outlineLevel="2">
      <c r="A78" s="92" t="str">
        <f t="shared" si="8"/>
        <v/>
      </c>
      <c r="B78" s="95"/>
      <c r="C78" s="96"/>
      <c r="D78" s="69"/>
      <c r="E78" s="69"/>
      <c r="F78" s="69"/>
      <c r="G78" s="69"/>
      <c r="H78" s="69" t="s">
        <v>57</v>
      </c>
      <c r="I78" s="94"/>
      <c r="J78" s="94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hidden="1" customHeight="1" outlineLevel="2">
      <c r="A79" s="92" t="str">
        <f t="shared" si="8"/>
        <v/>
      </c>
      <c r="B79" s="95"/>
      <c r="C79" s="96"/>
      <c r="D79" s="96"/>
      <c r="E79" s="69"/>
      <c r="F79" s="69"/>
      <c r="G79" s="69"/>
      <c r="H79" s="69" t="s">
        <v>57</v>
      </c>
      <c r="I79" s="94"/>
      <c r="J79" s="94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hidden="1" customHeight="1" outlineLevel="2">
      <c r="A80" s="92" t="str">
        <f t="shared" si="8"/>
        <v/>
      </c>
      <c r="B80" s="95"/>
      <c r="C80" s="93"/>
      <c r="D80" s="69"/>
      <c r="E80" s="69"/>
      <c r="F80" s="69"/>
      <c r="G80" s="69"/>
      <c r="H80" s="69" t="s">
        <v>57</v>
      </c>
      <c r="I80" s="94"/>
      <c r="J80" s="94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hidden="1" customHeight="1" outlineLevel="2">
      <c r="A81" s="92" t="str">
        <f t="shared" si="8"/>
        <v/>
      </c>
      <c r="B81" s="112" t="s">
        <v>420</v>
      </c>
      <c r="C81" s="112" t="s">
        <v>421</v>
      </c>
      <c r="D81" s="69"/>
      <c r="E81" s="69"/>
      <c r="F81" s="69"/>
      <c r="G81" s="69"/>
      <c r="H81" s="69" t="s">
        <v>57</v>
      </c>
      <c r="I81" s="94"/>
      <c r="J81" s="94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hidden="1" customHeight="1" outlineLevel="2">
      <c r="A82" s="92" t="str">
        <f t="shared" si="8"/>
        <v/>
      </c>
      <c r="B82" s="93"/>
      <c r="C82" s="110" t="s">
        <v>422</v>
      </c>
      <c r="D82" s="69"/>
      <c r="E82" s="69"/>
      <c r="F82" s="69"/>
      <c r="G82" s="69"/>
      <c r="H82" s="69" t="s">
        <v>57</v>
      </c>
      <c r="I82" s="94"/>
      <c r="J82" s="94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hidden="1" customHeight="1" outlineLevel="2">
      <c r="A83" s="92" t="str">
        <f t="shared" si="8"/>
        <v/>
      </c>
      <c r="B83" s="96"/>
      <c r="C83" s="96"/>
      <c r="D83" s="69"/>
      <c r="E83" s="69"/>
      <c r="F83" s="69"/>
      <c r="G83" s="69"/>
      <c r="H83" s="69" t="s">
        <v>57</v>
      </c>
      <c r="I83" s="94"/>
      <c r="J83" s="94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hidden="1" customHeight="1" outlineLevel="1">
      <c r="A84" s="92" t="str">
        <f t="shared" si="8"/>
        <v/>
      </c>
      <c r="B84" s="109" t="s">
        <v>158</v>
      </c>
      <c r="C84" s="90"/>
      <c r="D84" s="90"/>
      <c r="E84" s="91"/>
      <c r="F84" s="90"/>
      <c r="G84" s="90"/>
      <c r="H84" s="91"/>
      <c r="I84" s="91"/>
      <c r="J84" s="91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47.25" hidden="1" customHeight="1" outlineLevel="2">
      <c r="A85" s="92" t="str">
        <f t="shared" si="8"/>
        <v/>
      </c>
      <c r="B85" s="93"/>
      <c r="C85" s="93"/>
      <c r="D85" s="93"/>
      <c r="E85" s="69"/>
      <c r="F85" s="93"/>
      <c r="G85" s="69"/>
      <c r="H85" s="69" t="s">
        <v>57</v>
      </c>
      <c r="I85" s="94"/>
      <c r="J85" s="94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hidden="1" customHeight="1" outlineLevel="2">
      <c r="A86" s="92" t="str">
        <f t="shared" si="8"/>
        <v/>
      </c>
      <c r="B86" s="95"/>
      <c r="C86" s="95"/>
      <c r="D86" s="95"/>
      <c r="E86" s="69"/>
      <c r="F86" s="95"/>
      <c r="G86" s="69"/>
      <c r="H86" s="69" t="s">
        <v>57</v>
      </c>
      <c r="I86" s="94"/>
      <c r="J86" s="94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hidden="1" customHeight="1" outlineLevel="2">
      <c r="A87" s="92" t="str">
        <f t="shared" si="8"/>
        <v/>
      </c>
      <c r="B87" s="95"/>
      <c r="C87" s="95"/>
      <c r="D87" s="95"/>
      <c r="E87" s="69"/>
      <c r="F87" s="95"/>
      <c r="G87" s="69"/>
      <c r="H87" s="69" t="s">
        <v>57</v>
      </c>
      <c r="I87" s="94"/>
      <c r="J87" s="94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hidden="1" customHeight="1" outlineLevel="2">
      <c r="A88" s="92" t="str">
        <f t="shared" si="8"/>
        <v/>
      </c>
      <c r="B88" s="95"/>
      <c r="C88" s="95"/>
      <c r="D88" s="95"/>
      <c r="E88" s="69"/>
      <c r="F88" s="96"/>
      <c r="G88" s="69"/>
      <c r="H88" s="69" t="s">
        <v>57</v>
      </c>
      <c r="I88" s="94"/>
      <c r="J88" s="94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hidden="1" customHeight="1" outlineLevel="2">
      <c r="A89" s="92" t="str">
        <f t="shared" si="8"/>
        <v/>
      </c>
      <c r="B89" s="96"/>
      <c r="C89" s="96"/>
      <c r="D89" s="96"/>
      <c r="E89" s="69"/>
      <c r="F89" s="69"/>
      <c r="G89" s="69"/>
      <c r="H89" s="69" t="s">
        <v>57</v>
      </c>
      <c r="I89" s="94"/>
      <c r="J89" s="94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hidden="1" customHeight="1" outlineLevel="2">
      <c r="A90" s="92" t="str">
        <f t="shared" si="8"/>
        <v/>
      </c>
      <c r="B90" s="93"/>
      <c r="C90" s="93"/>
      <c r="D90" s="93"/>
      <c r="E90" s="69"/>
      <c r="F90" s="93"/>
      <c r="G90" s="69"/>
      <c r="H90" s="69" t="s">
        <v>57</v>
      </c>
      <c r="I90" s="94"/>
      <c r="J90" s="94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hidden="1" customHeight="1" outlineLevel="2">
      <c r="A91" s="92" t="str">
        <f t="shared" si="8"/>
        <v/>
      </c>
      <c r="B91" s="95"/>
      <c r="C91" s="95"/>
      <c r="D91" s="95"/>
      <c r="E91" s="69"/>
      <c r="F91" s="93"/>
      <c r="G91" s="69"/>
      <c r="H91" s="69" t="s">
        <v>57</v>
      </c>
      <c r="I91" s="94"/>
      <c r="J91" s="94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hidden="1" customHeight="1" outlineLevel="2">
      <c r="A92" s="92" t="str">
        <f t="shared" si="8"/>
        <v/>
      </c>
      <c r="B92" s="95"/>
      <c r="C92" s="96"/>
      <c r="D92" s="96"/>
      <c r="E92" s="69"/>
      <c r="F92" s="93"/>
      <c r="G92" s="69"/>
      <c r="H92" s="69" t="s">
        <v>57</v>
      </c>
      <c r="I92" s="94"/>
      <c r="J92" s="94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hidden="1" customHeight="1" outlineLevel="2">
      <c r="A93" s="92" t="str">
        <f t="shared" si="8"/>
        <v/>
      </c>
      <c r="B93" s="96"/>
      <c r="C93" s="69"/>
      <c r="D93" s="69"/>
      <c r="E93" s="69"/>
      <c r="F93" s="93"/>
      <c r="G93" s="69"/>
      <c r="H93" s="69" t="s">
        <v>57</v>
      </c>
      <c r="I93" s="94"/>
      <c r="J93" s="94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customHeight="1" collapsed="1">
      <c r="A94" s="85"/>
      <c r="B94" s="108" t="s">
        <v>423</v>
      </c>
      <c r="C94" s="87"/>
      <c r="D94" s="87"/>
      <c r="E94" s="87"/>
      <c r="F94" s="87"/>
      <c r="G94" s="87"/>
      <c r="H94" s="87"/>
      <c r="I94" s="87"/>
      <c r="J94" s="8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hidden="1" customHeight="1" outlineLevel="1">
      <c r="A95" s="88"/>
      <c r="B95" s="89"/>
      <c r="C95" s="90"/>
      <c r="D95" s="90"/>
      <c r="E95" s="91"/>
      <c r="F95" s="90"/>
      <c r="G95" s="90"/>
      <c r="H95" s="91"/>
      <c r="I95" s="91"/>
      <c r="J95" s="91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hidden="1" customHeight="1" outlineLevel="2">
      <c r="A96" s="92" t="str">
        <f t="shared" ref="A96:A128" si="9">IF(G96="","",$C$2&amp;"-"&amp;SUBTOTAL(3,$G$10:G96))</f>
        <v/>
      </c>
      <c r="B96" s="93"/>
      <c r="C96" s="93"/>
      <c r="D96" s="93"/>
      <c r="E96" s="94"/>
      <c r="F96" s="93"/>
      <c r="G96" s="69"/>
      <c r="H96" s="69" t="s">
        <v>57</v>
      </c>
      <c r="I96" s="94"/>
      <c r="J96" s="94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hidden="1" customHeight="1" outlineLevel="2">
      <c r="A97" s="92" t="str">
        <f t="shared" si="9"/>
        <v/>
      </c>
      <c r="B97" s="95"/>
      <c r="C97" s="95"/>
      <c r="D97" s="95"/>
      <c r="E97" s="94"/>
      <c r="F97" s="95"/>
      <c r="G97" s="69"/>
      <c r="H97" s="69" t="s">
        <v>57</v>
      </c>
      <c r="I97" s="94"/>
      <c r="J97" s="94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hidden="1" customHeight="1" outlineLevel="2">
      <c r="A98" s="92" t="str">
        <f t="shared" si="9"/>
        <v/>
      </c>
      <c r="B98" s="95"/>
      <c r="C98" s="95"/>
      <c r="D98" s="95"/>
      <c r="E98" s="94"/>
      <c r="F98" s="95"/>
      <c r="G98" s="69"/>
      <c r="H98" s="69" t="s">
        <v>57</v>
      </c>
      <c r="I98" s="94"/>
      <c r="J98" s="94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hidden="1" customHeight="1" outlineLevel="2">
      <c r="A99" s="92" t="str">
        <f t="shared" si="9"/>
        <v/>
      </c>
      <c r="B99" s="95"/>
      <c r="C99" s="95"/>
      <c r="D99" s="95"/>
      <c r="E99" s="94"/>
      <c r="F99" s="95"/>
      <c r="G99" s="69"/>
      <c r="H99" s="69" t="s">
        <v>57</v>
      </c>
      <c r="I99" s="94"/>
      <c r="J99" s="9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hidden="1" customHeight="1" outlineLevel="2">
      <c r="A100" s="92" t="str">
        <f t="shared" si="9"/>
        <v/>
      </c>
      <c r="B100" s="95"/>
      <c r="C100" s="96"/>
      <c r="D100" s="96"/>
      <c r="E100" s="94"/>
      <c r="F100" s="96"/>
      <c r="G100" s="69"/>
      <c r="H100" s="69" t="s">
        <v>57</v>
      </c>
      <c r="I100" s="94"/>
      <c r="J100" s="94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hidden="1" customHeight="1" outlineLevel="2">
      <c r="A101" s="92" t="str">
        <f t="shared" si="9"/>
        <v/>
      </c>
      <c r="B101" s="95"/>
      <c r="C101" s="93"/>
      <c r="D101" s="93"/>
      <c r="E101" s="94"/>
      <c r="F101" s="69"/>
      <c r="G101" s="69"/>
      <c r="H101" s="69" t="s">
        <v>57</v>
      </c>
      <c r="I101" s="94"/>
      <c r="J101" s="94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hidden="1" customHeight="1" outlineLevel="1">
      <c r="A102" s="92" t="str">
        <f t="shared" si="9"/>
        <v/>
      </c>
      <c r="B102" s="89"/>
      <c r="C102" s="90"/>
      <c r="D102" s="90"/>
      <c r="E102" s="91"/>
      <c r="F102" s="90"/>
      <c r="G102" s="90"/>
      <c r="H102" s="91"/>
      <c r="I102" s="91"/>
      <c r="J102" s="91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hidden="1" customHeight="1" outlineLevel="2">
      <c r="A103" s="92" t="str">
        <f t="shared" si="9"/>
        <v/>
      </c>
      <c r="B103" s="93"/>
      <c r="C103" s="93"/>
      <c r="D103" s="99"/>
      <c r="E103" s="99"/>
      <c r="F103" s="69"/>
      <c r="G103" s="99"/>
      <c r="H103" s="69" t="s">
        <v>57</v>
      </c>
      <c r="I103" s="94"/>
      <c r="J103" s="94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hidden="1" customHeight="1" outlineLevel="2">
      <c r="A104" s="92" t="str">
        <f t="shared" si="9"/>
        <v/>
      </c>
      <c r="B104" s="95"/>
      <c r="C104" s="96"/>
      <c r="D104" s="99"/>
      <c r="E104" s="99"/>
      <c r="F104" s="69"/>
      <c r="G104" s="99"/>
      <c r="H104" s="69" t="s">
        <v>57</v>
      </c>
      <c r="I104" s="94"/>
      <c r="J104" s="94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hidden="1" customHeight="1" outlineLevel="2">
      <c r="A105" s="92" t="str">
        <f t="shared" si="9"/>
        <v/>
      </c>
      <c r="B105" s="95"/>
      <c r="C105" s="93"/>
      <c r="D105" s="99"/>
      <c r="E105" s="99"/>
      <c r="F105" s="69"/>
      <c r="G105" s="99"/>
      <c r="H105" s="69" t="s">
        <v>57</v>
      </c>
      <c r="I105" s="94"/>
      <c r="J105" s="94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hidden="1" customHeight="1" outlineLevel="2">
      <c r="A106" s="92" t="str">
        <f t="shared" si="9"/>
        <v/>
      </c>
      <c r="B106" s="95"/>
      <c r="C106" s="95"/>
      <c r="D106" s="99"/>
      <c r="E106" s="99"/>
      <c r="F106" s="69"/>
      <c r="G106" s="99"/>
      <c r="H106" s="69" t="s">
        <v>57</v>
      </c>
      <c r="I106" s="94"/>
      <c r="J106" s="94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hidden="1" customHeight="1" outlineLevel="2">
      <c r="A107" s="92" t="str">
        <f t="shared" si="9"/>
        <v/>
      </c>
      <c r="B107" s="95"/>
      <c r="C107" s="95"/>
      <c r="D107" s="69"/>
      <c r="E107" s="69"/>
      <c r="F107" s="69"/>
      <c r="G107" s="99"/>
      <c r="H107" s="69" t="s">
        <v>57</v>
      </c>
      <c r="I107" s="94"/>
      <c r="J107" s="94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hidden="1" customHeight="1" outlineLevel="2">
      <c r="A108" s="92" t="str">
        <f t="shared" si="9"/>
        <v/>
      </c>
      <c r="B108" s="95"/>
      <c r="C108" s="95"/>
      <c r="D108" s="69"/>
      <c r="E108" s="69"/>
      <c r="F108" s="69"/>
      <c r="G108" s="69"/>
      <c r="H108" s="69" t="s">
        <v>57</v>
      </c>
      <c r="I108" s="94"/>
      <c r="J108" s="94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hidden="1" customHeight="1" outlineLevel="2">
      <c r="A109" s="92" t="str">
        <f t="shared" si="9"/>
        <v/>
      </c>
      <c r="B109" s="95"/>
      <c r="C109" s="95"/>
      <c r="D109" s="69"/>
      <c r="E109" s="69"/>
      <c r="F109" s="69"/>
      <c r="G109" s="69"/>
      <c r="H109" s="69" t="s">
        <v>57</v>
      </c>
      <c r="I109" s="94"/>
      <c r="J109" s="94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hidden="1" customHeight="1" outlineLevel="2">
      <c r="A110" s="92" t="str">
        <f t="shared" si="9"/>
        <v/>
      </c>
      <c r="B110" s="96"/>
      <c r="C110" s="96"/>
      <c r="D110" s="69"/>
      <c r="E110" s="69"/>
      <c r="F110" s="69"/>
      <c r="G110" s="69"/>
      <c r="H110" s="69" t="s">
        <v>57</v>
      </c>
      <c r="I110" s="94"/>
      <c r="J110" s="94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hidden="1" customHeight="1" outlineLevel="2">
      <c r="A111" s="92" t="str">
        <f t="shared" si="9"/>
        <v/>
      </c>
      <c r="B111" s="93"/>
      <c r="C111" s="93"/>
      <c r="D111" s="69"/>
      <c r="E111" s="69"/>
      <c r="F111" s="69"/>
      <c r="G111" s="69"/>
      <c r="H111" s="69" t="s">
        <v>57</v>
      </c>
      <c r="I111" s="94"/>
      <c r="J111" s="94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hidden="1" customHeight="1" outlineLevel="2">
      <c r="A112" s="92" t="str">
        <f t="shared" si="9"/>
        <v/>
      </c>
      <c r="B112" s="95"/>
      <c r="C112" s="96"/>
      <c r="D112" s="69"/>
      <c r="E112" s="69"/>
      <c r="F112" s="69"/>
      <c r="G112" s="69"/>
      <c r="H112" s="69" t="s">
        <v>57</v>
      </c>
      <c r="I112" s="94"/>
      <c r="J112" s="94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hidden="1" customHeight="1" outlineLevel="2">
      <c r="A113" s="92" t="str">
        <f t="shared" si="9"/>
        <v/>
      </c>
      <c r="B113" s="96"/>
      <c r="C113" s="96"/>
      <c r="D113" s="69"/>
      <c r="E113" s="69"/>
      <c r="F113" s="69"/>
      <c r="G113" s="69"/>
      <c r="H113" s="69" t="s">
        <v>57</v>
      </c>
      <c r="I113" s="94"/>
      <c r="J113" s="94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hidden="1" customHeight="1" outlineLevel="2">
      <c r="A114" s="92" t="str">
        <f t="shared" si="9"/>
        <v/>
      </c>
      <c r="B114" s="93"/>
      <c r="C114" s="93"/>
      <c r="D114" s="69"/>
      <c r="E114" s="69"/>
      <c r="F114" s="69"/>
      <c r="G114" s="69"/>
      <c r="H114" s="69" t="s">
        <v>57</v>
      </c>
      <c r="I114" s="94"/>
      <c r="J114" s="94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hidden="1" customHeight="1" outlineLevel="2">
      <c r="A115" s="92" t="str">
        <f t="shared" si="9"/>
        <v/>
      </c>
      <c r="B115" s="95"/>
      <c r="C115" s="96"/>
      <c r="D115" s="69"/>
      <c r="E115" s="69"/>
      <c r="F115" s="69"/>
      <c r="G115" s="69"/>
      <c r="H115" s="69" t="s">
        <v>57</v>
      </c>
      <c r="I115" s="94"/>
      <c r="J115" s="94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hidden="1" customHeight="1" outlineLevel="2">
      <c r="A116" s="92" t="str">
        <f t="shared" si="9"/>
        <v/>
      </c>
      <c r="B116" s="95"/>
      <c r="C116" s="93"/>
      <c r="D116" s="69"/>
      <c r="E116" s="69"/>
      <c r="F116" s="69"/>
      <c r="G116" s="69"/>
      <c r="H116" s="69" t="s">
        <v>57</v>
      </c>
      <c r="I116" s="94"/>
      <c r="J116" s="94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hidden="1" customHeight="1" outlineLevel="2">
      <c r="A117" s="92" t="str">
        <f t="shared" si="9"/>
        <v/>
      </c>
      <c r="B117" s="95"/>
      <c r="C117" s="96"/>
      <c r="D117" s="69"/>
      <c r="E117" s="69"/>
      <c r="F117" s="69"/>
      <c r="G117" s="69"/>
      <c r="H117" s="69" t="s">
        <v>57</v>
      </c>
      <c r="I117" s="94"/>
      <c r="J117" s="94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hidden="1" customHeight="1" outlineLevel="2">
      <c r="A118" s="92" t="str">
        <f t="shared" si="9"/>
        <v/>
      </c>
      <c r="B118" s="96"/>
      <c r="C118" s="95"/>
      <c r="D118" s="69"/>
      <c r="E118" s="69"/>
      <c r="F118" s="69"/>
      <c r="G118" s="69"/>
      <c r="H118" s="69" t="s">
        <v>57</v>
      </c>
      <c r="I118" s="94"/>
      <c r="J118" s="94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hidden="1" customHeight="1" outlineLevel="2">
      <c r="A119" s="92" t="str">
        <f t="shared" si="9"/>
        <v/>
      </c>
      <c r="B119" s="93"/>
      <c r="C119" s="93"/>
      <c r="D119" s="69"/>
      <c r="E119" s="69"/>
      <c r="F119" s="69"/>
      <c r="G119" s="69"/>
      <c r="H119" s="69" t="s">
        <v>57</v>
      </c>
      <c r="I119" s="94"/>
      <c r="J119" s="94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hidden="1" customHeight="1" outlineLevel="2">
      <c r="A120" s="92" t="str">
        <f t="shared" si="9"/>
        <v/>
      </c>
      <c r="B120" s="96"/>
      <c r="C120" s="96"/>
      <c r="D120" s="69"/>
      <c r="E120" s="69"/>
      <c r="F120" s="69"/>
      <c r="G120" s="69"/>
      <c r="H120" s="69" t="s">
        <v>57</v>
      </c>
      <c r="I120" s="94"/>
      <c r="J120" s="94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hidden="1" customHeight="1" outlineLevel="1">
      <c r="A121" s="92" t="str">
        <f t="shared" si="9"/>
        <v/>
      </c>
      <c r="B121" s="89"/>
      <c r="C121" s="90"/>
      <c r="D121" s="90"/>
      <c r="E121" s="91"/>
      <c r="F121" s="90"/>
      <c r="G121" s="90"/>
      <c r="H121" s="91"/>
      <c r="I121" s="91"/>
      <c r="J121" s="91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hidden="1" customHeight="1" outlineLevel="2">
      <c r="A122" s="92" t="str">
        <f t="shared" si="9"/>
        <v/>
      </c>
      <c r="B122" s="93"/>
      <c r="C122" s="93"/>
      <c r="D122" s="93"/>
      <c r="E122" s="69"/>
      <c r="F122" s="93"/>
      <c r="G122" s="69"/>
      <c r="H122" s="69" t="s">
        <v>57</v>
      </c>
      <c r="I122" s="94"/>
      <c r="J122" s="94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hidden="1" customHeight="1" outlineLevel="2">
      <c r="A123" s="92" t="str">
        <f t="shared" si="9"/>
        <v/>
      </c>
      <c r="B123" s="95"/>
      <c r="C123" s="95"/>
      <c r="D123" s="95"/>
      <c r="E123" s="69"/>
      <c r="F123" s="95"/>
      <c r="G123" s="69"/>
      <c r="H123" s="69" t="s">
        <v>57</v>
      </c>
      <c r="I123" s="94"/>
      <c r="J123" s="94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hidden="1" customHeight="1" outlineLevel="2">
      <c r="A124" s="92" t="str">
        <f t="shared" si="9"/>
        <v/>
      </c>
      <c r="B124" s="95"/>
      <c r="C124" s="95"/>
      <c r="D124" s="95"/>
      <c r="E124" s="69"/>
      <c r="F124" s="95"/>
      <c r="G124" s="69"/>
      <c r="H124" s="69" t="s">
        <v>57</v>
      </c>
      <c r="I124" s="94"/>
      <c r="J124" s="94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hidden="1" customHeight="1" outlineLevel="2">
      <c r="A125" s="92" t="str">
        <f t="shared" si="9"/>
        <v/>
      </c>
      <c r="B125" s="95"/>
      <c r="C125" s="95"/>
      <c r="D125" s="95"/>
      <c r="E125" s="69"/>
      <c r="F125" s="96"/>
      <c r="G125" s="69"/>
      <c r="H125" s="69" t="s">
        <v>57</v>
      </c>
      <c r="I125" s="94"/>
      <c r="J125" s="94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hidden="1" customHeight="1" outlineLevel="2">
      <c r="A126" s="92" t="str">
        <f t="shared" si="9"/>
        <v/>
      </c>
      <c r="B126" s="95"/>
      <c r="C126" s="95"/>
      <c r="D126" s="95"/>
      <c r="E126" s="69"/>
      <c r="F126" s="69"/>
      <c r="G126" s="69"/>
      <c r="H126" s="69" t="s">
        <v>57</v>
      </c>
      <c r="I126" s="94"/>
      <c r="J126" s="94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hidden="1" customHeight="1" outlineLevel="2">
      <c r="A127" s="92" t="str">
        <f t="shared" si="9"/>
        <v/>
      </c>
      <c r="B127" s="95"/>
      <c r="C127" s="96"/>
      <c r="D127" s="96"/>
      <c r="E127" s="69"/>
      <c r="F127" s="93"/>
      <c r="G127" s="69"/>
      <c r="H127" s="69" t="s">
        <v>57</v>
      </c>
      <c r="I127" s="94"/>
      <c r="J127" s="94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hidden="1" customHeight="1" outlineLevel="2">
      <c r="A128" s="92" t="str">
        <f t="shared" si="9"/>
        <v/>
      </c>
      <c r="B128" s="96"/>
      <c r="C128" s="69"/>
      <c r="D128" s="69"/>
      <c r="E128" s="94"/>
      <c r="F128" s="93"/>
      <c r="G128" s="69"/>
      <c r="H128" s="69" t="s">
        <v>57</v>
      </c>
      <c r="I128" s="94"/>
      <c r="J128" s="94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customHeight="1" collapsed="1">
      <c r="A129" s="85"/>
      <c r="B129" s="108" t="s">
        <v>390</v>
      </c>
      <c r="C129" s="87"/>
      <c r="D129" s="87"/>
      <c r="E129" s="87"/>
      <c r="F129" s="87"/>
      <c r="G129" s="87"/>
      <c r="H129" s="87"/>
      <c r="I129" s="87"/>
      <c r="J129" s="8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hidden="1" customHeight="1" outlineLevel="1">
      <c r="A130" s="88"/>
      <c r="B130" s="89"/>
      <c r="C130" s="90"/>
      <c r="D130" s="90"/>
      <c r="E130" s="91"/>
      <c r="F130" s="90"/>
      <c r="G130" s="90"/>
      <c r="H130" s="91"/>
      <c r="I130" s="91"/>
      <c r="J130" s="91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hidden="1" customHeight="1" outlineLevel="2">
      <c r="A131" s="92" t="str">
        <f t="shared" ref="A131:A141" si="10">IF(G131="","",$C$2&amp;"-"&amp;SUBTOTAL(3,$G$10:G131))</f>
        <v/>
      </c>
      <c r="B131" s="93"/>
      <c r="C131" s="93"/>
      <c r="D131" s="93"/>
      <c r="E131" s="94"/>
      <c r="F131" s="93"/>
      <c r="G131" s="69"/>
      <c r="H131" s="69" t="s">
        <v>57</v>
      </c>
      <c r="I131" s="94"/>
      <c r="J131" s="94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hidden="1" customHeight="1" outlineLevel="1">
      <c r="A132" s="92" t="str">
        <f t="shared" si="10"/>
        <v/>
      </c>
      <c r="B132" s="89"/>
      <c r="C132" s="90"/>
      <c r="D132" s="90"/>
      <c r="E132" s="91"/>
      <c r="F132" s="90"/>
      <c r="G132" s="90"/>
      <c r="H132" s="91"/>
      <c r="I132" s="91"/>
      <c r="J132" s="91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hidden="1" customHeight="1" outlineLevel="2">
      <c r="A133" s="92" t="str">
        <f t="shared" si="10"/>
        <v/>
      </c>
      <c r="B133" s="93"/>
      <c r="C133" s="93"/>
      <c r="D133" s="99"/>
      <c r="E133" s="99"/>
      <c r="F133" s="93"/>
      <c r="G133" s="99"/>
      <c r="H133" s="69" t="s">
        <v>57</v>
      </c>
      <c r="I133" s="94"/>
      <c r="J133" s="94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hidden="1" customHeight="1" outlineLevel="2">
      <c r="A134" s="92" t="str">
        <f t="shared" si="10"/>
        <v/>
      </c>
      <c r="B134" s="96"/>
      <c r="C134" s="96"/>
      <c r="D134" s="99"/>
      <c r="E134" s="99"/>
      <c r="F134" s="93"/>
      <c r="G134" s="99"/>
      <c r="H134" s="69" t="s">
        <v>57</v>
      </c>
      <c r="I134" s="94"/>
      <c r="J134" s="94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hidden="1" customHeight="1" outlineLevel="2">
      <c r="A135" s="92" t="str">
        <f t="shared" si="10"/>
        <v/>
      </c>
      <c r="B135" s="93"/>
      <c r="C135" s="93"/>
      <c r="D135" s="99"/>
      <c r="E135" s="69"/>
      <c r="F135" s="93"/>
      <c r="G135" s="99"/>
      <c r="H135" s="69" t="s">
        <v>57</v>
      </c>
      <c r="I135" s="94"/>
      <c r="J135" s="94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hidden="1" customHeight="1" outlineLevel="2">
      <c r="A136" s="92" t="str">
        <f t="shared" si="10"/>
        <v/>
      </c>
      <c r="B136" s="96"/>
      <c r="C136" s="96"/>
      <c r="D136" s="99"/>
      <c r="E136" s="69"/>
      <c r="F136" s="93"/>
      <c r="G136" s="69"/>
      <c r="H136" s="69" t="s">
        <v>57</v>
      </c>
      <c r="I136" s="94"/>
      <c r="J136" s="94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hidden="1" customHeight="1" outlineLevel="1">
      <c r="A137" s="92" t="str">
        <f t="shared" si="10"/>
        <v/>
      </c>
      <c r="B137" s="89"/>
      <c r="C137" s="90"/>
      <c r="D137" s="90"/>
      <c r="E137" s="91"/>
      <c r="F137" s="90"/>
      <c r="G137" s="90"/>
      <c r="H137" s="91"/>
      <c r="I137" s="91"/>
      <c r="J137" s="91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47.25" hidden="1" customHeight="1" outlineLevel="2">
      <c r="A138" s="92" t="str">
        <f t="shared" si="10"/>
        <v/>
      </c>
      <c r="B138" s="93"/>
      <c r="C138" s="93"/>
      <c r="D138" s="93"/>
      <c r="E138" s="69"/>
      <c r="F138" s="93"/>
      <c r="G138" s="99"/>
      <c r="H138" s="69" t="s">
        <v>57</v>
      </c>
      <c r="I138" s="94"/>
      <c r="J138" s="94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hidden="1" customHeight="1" outlineLevel="2">
      <c r="A139" s="92" t="str">
        <f t="shared" si="10"/>
        <v/>
      </c>
      <c r="B139" s="95"/>
      <c r="C139" s="95"/>
      <c r="D139" s="95"/>
      <c r="E139" s="69"/>
      <c r="F139" s="95"/>
      <c r="G139" s="69"/>
      <c r="H139" s="69" t="s">
        <v>57</v>
      </c>
      <c r="I139" s="94"/>
      <c r="J139" s="94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hidden="1" customHeight="1" outlineLevel="2">
      <c r="A140" s="92" t="str">
        <f t="shared" si="10"/>
        <v/>
      </c>
      <c r="B140" s="95"/>
      <c r="C140" s="95"/>
      <c r="D140" s="95"/>
      <c r="E140" s="69"/>
      <c r="F140" s="96"/>
      <c r="G140" s="69"/>
      <c r="H140" s="69" t="s">
        <v>57</v>
      </c>
      <c r="I140" s="94"/>
      <c r="J140" s="94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hidden="1" customHeight="1" outlineLevel="2">
      <c r="A141" s="92" t="str">
        <f t="shared" si="10"/>
        <v/>
      </c>
      <c r="B141" s="96"/>
      <c r="C141" s="96"/>
      <c r="D141" s="96"/>
      <c r="E141" s="69"/>
      <c r="F141" s="69"/>
      <c r="G141" s="69"/>
      <c r="H141" s="69" t="s">
        <v>57</v>
      </c>
      <c r="I141" s="94"/>
      <c r="J141" s="94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customHeight="1">
      <c r="A142" s="67"/>
      <c r="B142" s="67"/>
      <c r="C142" s="70"/>
      <c r="D142" s="70"/>
      <c r="E142" s="67"/>
      <c r="F142" s="70"/>
      <c r="G142" s="70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customHeight="1">
      <c r="A143" s="67"/>
      <c r="B143" s="67"/>
      <c r="C143" s="70"/>
      <c r="D143" s="70"/>
      <c r="E143" s="67"/>
      <c r="F143" s="70"/>
      <c r="G143" s="70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customHeight="1">
      <c r="A144" s="67"/>
      <c r="B144" s="67"/>
      <c r="C144" s="70"/>
      <c r="D144" s="70"/>
      <c r="E144" s="67"/>
      <c r="F144" s="70"/>
      <c r="G144" s="70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customHeight="1">
      <c r="A145" s="67"/>
      <c r="B145" s="67"/>
      <c r="C145" s="70"/>
      <c r="D145" s="70"/>
      <c r="E145" s="67"/>
      <c r="F145" s="70"/>
      <c r="G145" s="70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customHeight="1">
      <c r="A146" s="67"/>
      <c r="B146" s="67"/>
      <c r="C146" s="70"/>
      <c r="D146" s="70"/>
      <c r="E146" s="67"/>
      <c r="F146" s="70"/>
      <c r="G146" s="70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customHeight="1">
      <c r="A147" s="67"/>
      <c r="B147" s="67"/>
      <c r="C147" s="70"/>
      <c r="D147" s="70"/>
      <c r="E147" s="67"/>
      <c r="F147" s="70"/>
      <c r="G147" s="70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customHeight="1">
      <c r="A148" s="67"/>
      <c r="B148" s="67"/>
      <c r="C148" s="70"/>
      <c r="D148" s="70"/>
      <c r="E148" s="67"/>
      <c r="F148" s="70"/>
      <c r="G148" s="70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customHeight="1">
      <c r="A149" s="67"/>
      <c r="B149" s="67"/>
      <c r="C149" s="70"/>
      <c r="D149" s="70"/>
      <c r="E149" s="67"/>
      <c r="F149" s="70"/>
      <c r="G149" s="70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customHeight="1">
      <c r="A150" s="67"/>
      <c r="B150" s="67"/>
      <c r="C150" s="70"/>
      <c r="D150" s="70"/>
      <c r="E150" s="67"/>
      <c r="F150" s="70"/>
      <c r="G150" s="70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customHeight="1">
      <c r="A151" s="67"/>
      <c r="B151" s="67"/>
      <c r="C151" s="70"/>
      <c r="D151" s="70"/>
      <c r="E151" s="67"/>
      <c r="F151" s="70"/>
      <c r="G151" s="70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customHeight="1">
      <c r="A152" s="67"/>
      <c r="B152" s="67"/>
      <c r="C152" s="70"/>
      <c r="D152" s="70"/>
      <c r="E152" s="67"/>
      <c r="F152" s="70"/>
      <c r="G152" s="70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customHeight="1">
      <c r="A153" s="67"/>
      <c r="B153" s="67"/>
      <c r="C153" s="70"/>
      <c r="D153" s="70"/>
      <c r="E153" s="67"/>
      <c r="F153" s="70"/>
      <c r="G153" s="70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customHeight="1">
      <c r="A154" s="67"/>
      <c r="B154" s="67"/>
      <c r="C154" s="70"/>
      <c r="D154" s="70"/>
      <c r="E154" s="67"/>
      <c r="F154" s="70"/>
      <c r="G154" s="70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customHeight="1">
      <c r="A155" s="67"/>
      <c r="B155" s="67"/>
      <c r="C155" s="70"/>
      <c r="D155" s="70"/>
      <c r="E155" s="67"/>
      <c r="F155" s="70"/>
      <c r="G155" s="70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customHeight="1">
      <c r="A156" s="67"/>
      <c r="B156" s="67"/>
      <c r="C156" s="70"/>
      <c r="D156" s="70"/>
      <c r="E156" s="67"/>
      <c r="F156" s="70"/>
      <c r="G156" s="70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customHeight="1">
      <c r="A157" s="67"/>
      <c r="B157" s="67"/>
      <c r="C157" s="70"/>
      <c r="D157" s="70"/>
      <c r="E157" s="67"/>
      <c r="F157" s="70"/>
      <c r="G157" s="70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customHeight="1">
      <c r="A158" s="67"/>
      <c r="B158" s="67"/>
      <c r="C158" s="70"/>
      <c r="D158" s="70"/>
      <c r="E158" s="67"/>
      <c r="F158" s="70"/>
      <c r="G158" s="70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customHeight="1">
      <c r="A159" s="67"/>
      <c r="B159" s="67"/>
      <c r="C159" s="70"/>
      <c r="D159" s="70"/>
      <c r="E159" s="67"/>
      <c r="F159" s="70"/>
      <c r="G159" s="70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customHeight="1">
      <c r="A160" s="67"/>
      <c r="B160" s="67"/>
      <c r="C160" s="70"/>
      <c r="D160" s="70"/>
      <c r="E160" s="67"/>
      <c r="F160" s="70"/>
      <c r="G160" s="70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67"/>
      <c r="B161" s="67"/>
      <c r="C161" s="70"/>
      <c r="D161" s="70"/>
      <c r="E161" s="67"/>
      <c r="F161" s="70"/>
      <c r="G161" s="70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customHeight="1">
      <c r="A162" s="67"/>
      <c r="B162" s="67"/>
      <c r="C162" s="70"/>
      <c r="D162" s="70"/>
      <c r="E162" s="67"/>
      <c r="F162" s="70"/>
      <c r="G162" s="70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67"/>
      <c r="B163" s="67"/>
      <c r="C163" s="70"/>
      <c r="D163" s="70"/>
      <c r="E163" s="67"/>
      <c r="F163" s="70"/>
      <c r="G163" s="70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customHeight="1">
      <c r="A164" s="67"/>
      <c r="B164" s="67"/>
      <c r="C164" s="70"/>
      <c r="D164" s="70"/>
      <c r="E164" s="67"/>
      <c r="F164" s="70"/>
      <c r="G164" s="70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customHeight="1">
      <c r="A165" s="67"/>
      <c r="B165" s="67"/>
      <c r="C165" s="70"/>
      <c r="D165" s="70"/>
      <c r="E165" s="67"/>
      <c r="F165" s="70"/>
      <c r="G165" s="70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customHeight="1">
      <c r="A166" s="67"/>
      <c r="B166" s="67"/>
      <c r="C166" s="70"/>
      <c r="D166" s="70"/>
      <c r="E166" s="67"/>
      <c r="F166" s="70"/>
      <c r="G166" s="70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customHeight="1">
      <c r="A167" s="67"/>
      <c r="B167" s="67"/>
      <c r="C167" s="70"/>
      <c r="D167" s="70"/>
      <c r="E167" s="67"/>
      <c r="F167" s="70"/>
      <c r="G167" s="70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customHeight="1">
      <c r="A168" s="67"/>
      <c r="B168" s="67"/>
      <c r="C168" s="70"/>
      <c r="D168" s="70"/>
      <c r="E168" s="67"/>
      <c r="F168" s="70"/>
      <c r="G168" s="70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customHeight="1">
      <c r="A169" s="67"/>
      <c r="B169" s="67"/>
      <c r="C169" s="70"/>
      <c r="D169" s="70"/>
      <c r="E169" s="67"/>
      <c r="F169" s="70"/>
      <c r="G169" s="70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customHeight="1">
      <c r="A170" s="67"/>
      <c r="B170" s="67"/>
      <c r="C170" s="70"/>
      <c r="D170" s="70"/>
      <c r="E170" s="67"/>
      <c r="F170" s="70"/>
      <c r="G170" s="70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customHeight="1">
      <c r="A171" s="67"/>
      <c r="B171" s="67"/>
      <c r="C171" s="70"/>
      <c r="D171" s="70"/>
      <c r="E171" s="67"/>
      <c r="F171" s="70"/>
      <c r="G171" s="70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customHeight="1">
      <c r="A172" s="67"/>
      <c r="B172" s="67"/>
      <c r="C172" s="70"/>
      <c r="D172" s="70"/>
      <c r="E172" s="67"/>
      <c r="F172" s="70"/>
      <c r="G172" s="70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customHeight="1">
      <c r="A173" s="67"/>
      <c r="B173" s="67"/>
      <c r="C173" s="70"/>
      <c r="D173" s="70"/>
      <c r="E173" s="67"/>
      <c r="F173" s="70"/>
      <c r="G173" s="70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customHeight="1">
      <c r="A174" s="67"/>
      <c r="B174" s="67"/>
      <c r="C174" s="70"/>
      <c r="D174" s="70"/>
      <c r="E174" s="67"/>
      <c r="F174" s="70"/>
      <c r="G174" s="70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customHeight="1">
      <c r="A175" s="67"/>
      <c r="B175" s="67"/>
      <c r="C175" s="70"/>
      <c r="D175" s="70"/>
      <c r="E175" s="67"/>
      <c r="F175" s="70"/>
      <c r="G175" s="70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customHeight="1">
      <c r="A176" s="67"/>
      <c r="B176" s="67"/>
      <c r="C176" s="70"/>
      <c r="D176" s="70"/>
      <c r="E176" s="67"/>
      <c r="F176" s="70"/>
      <c r="G176" s="70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customHeight="1">
      <c r="A177" s="67"/>
      <c r="B177" s="67"/>
      <c r="C177" s="70"/>
      <c r="D177" s="70"/>
      <c r="E177" s="67"/>
      <c r="F177" s="70"/>
      <c r="G177" s="70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customHeight="1">
      <c r="A178" s="67"/>
      <c r="B178" s="67"/>
      <c r="C178" s="70"/>
      <c r="D178" s="70"/>
      <c r="E178" s="67"/>
      <c r="F178" s="70"/>
      <c r="G178" s="70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customHeight="1">
      <c r="A179" s="67"/>
      <c r="B179" s="67"/>
      <c r="C179" s="70"/>
      <c r="D179" s="70"/>
      <c r="E179" s="67"/>
      <c r="F179" s="70"/>
      <c r="G179" s="70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customHeight="1">
      <c r="A180" s="67"/>
      <c r="B180" s="67"/>
      <c r="C180" s="70"/>
      <c r="D180" s="70"/>
      <c r="E180" s="67"/>
      <c r="F180" s="70"/>
      <c r="G180" s="70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customHeight="1">
      <c r="A181" s="67"/>
      <c r="B181" s="67"/>
      <c r="C181" s="70"/>
      <c r="D181" s="70"/>
      <c r="E181" s="67"/>
      <c r="F181" s="70"/>
      <c r="G181" s="70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customHeight="1">
      <c r="A182" s="67"/>
      <c r="B182" s="67"/>
      <c r="C182" s="70"/>
      <c r="D182" s="70"/>
      <c r="E182" s="67"/>
      <c r="F182" s="70"/>
      <c r="G182" s="70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customHeight="1">
      <c r="A183" s="67"/>
      <c r="B183" s="67"/>
      <c r="C183" s="70"/>
      <c r="D183" s="70"/>
      <c r="E183" s="67"/>
      <c r="F183" s="70"/>
      <c r="G183" s="70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customHeight="1">
      <c r="A184" s="67"/>
      <c r="B184" s="67"/>
      <c r="C184" s="70"/>
      <c r="D184" s="70"/>
      <c r="E184" s="67"/>
      <c r="F184" s="70"/>
      <c r="G184" s="70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customHeight="1">
      <c r="A185" s="67"/>
      <c r="B185" s="67"/>
      <c r="C185" s="70"/>
      <c r="D185" s="70"/>
      <c r="E185" s="67"/>
      <c r="F185" s="70"/>
      <c r="G185" s="70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customHeight="1">
      <c r="A186" s="67"/>
      <c r="B186" s="67"/>
      <c r="C186" s="70"/>
      <c r="D186" s="70"/>
      <c r="E186" s="67"/>
      <c r="F186" s="70"/>
      <c r="G186" s="70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customHeight="1">
      <c r="A187" s="67"/>
      <c r="B187" s="67"/>
      <c r="C187" s="70"/>
      <c r="D187" s="70"/>
      <c r="E187" s="67"/>
      <c r="F187" s="70"/>
      <c r="G187" s="70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customHeight="1">
      <c r="A188" s="67"/>
      <c r="B188" s="67"/>
      <c r="C188" s="70"/>
      <c r="D188" s="70"/>
      <c r="E188" s="67"/>
      <c r="F188" s="70"/>
      <c r="G188" s="70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customHeight="1">
      <c r="A189" s="67"/>
      <c r="B189" s="67"/>
      <c r="C189" s="70"/>
      <c r="D189" s="70"/>
      <c r="E189" s="67"/>
      <c r="F189" s="70"/>
      <c r="G189" s="70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customHeight="1">
      <c r="A190" s="67"/>
      <c r="B190" s="67"/>
      <c r="C190" s="70"/>
      <c r="D190" s="70"/>
      <c r="E190" s="67"/>
      <c r="F190" s="70"/>
      <c r="G190" s="70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customHeight="1">
      <c r="A191" s="67"/>
      <c r="B191" s="67"/>
      <c r="C191" s="70"/>
      <c r="D191" s="70"/>
      <c r="E191" s="67"/>
      <c r="F191" s="70"/>
      <c r="G191" s="70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customHeight="1">
      <c r="A192" s="67"/>
      <c r="B192" s="67"/>
      <c r="C192" s="70"/>
      <c r="D192" s="70"/>
      <c r="E192" s="67"/>
      <c r="F192" s="70"/>
      <c r="G192" s="70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customHeight="1">
      <c r="A193" s="67"/>
      <c r="B193" s="67"/>
      <c r="C193" s="70"/>
      <c r="D193" s="70"/>
      <c r="E193" s="67"/>
      <c r="F193" s="70"/>
      <c r="G193" s="70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customHeight="1">
      <c r="A194" s="67"/>
      <c r="B194" s="67"/>
      <c r="C194" s="70"/>
      <c r="D194" s="70"/>
      <c r="E194" s="67"/>
      <c r="F194" s="70"/>
      <c r="G194" s="70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customHeight="1">
      <c r="A195" s="67"/>
      <c r="B195" s="67"/>
      <c r="C195" s="70"/>
      <c r="D195" s="70"/>
      <c r="E195" s="67"/>
      <c r="F195" s="70"/>
      <c r="G195" s="70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customHeight="1">
      <c r="A196" s="67"/>
      <c r="B196" s="67"/>
      <c r="C196" s="70"/>
      <c r="D196" s="70"/>
      <c r="E196" s="67"/>
      <c r="F196" s="70"/>
      <c r="G196" s="70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customHeight="1">
      <c r="A197" s="67"/>
      <c r="B197" s="67"/>
      <c r="C197" s="70"/>
      <c r="D197" s="70"/>
      <c r="E197" s="67"/>
      <c r="F197" s="70"/>
      <c r="G197" s="70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customHeight="1">
      <c r="A198" s="67"/>
      <c r="B198" s="67"/>
      <c r="C198" s="70"/>
      <c r="D198" s="70"/>
      <c r="E198" s="67"/>
      <c r="F198" s="70"/>
      <c r="G198" s="70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customHeight="1">
      <c r="A199" s="67"/>
      <c r="B199" s="67"/>
      <c r="C199" s="70"/>
      <c r="D199" s="70"/>
      <c r="E199" s="67"/>
      <c r="F199" s="70"/>
      <c r="G199" s="70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customHeight="1">
      <c r="A200" s="67"/>
      <c r="B200" s="67"/>
      <c r="C200" s="70"/>
      <c r="D200" s="70"/>
      <c r="E200" s="67"/>
      <c r="F200" s="70"/>
      <c r="G200" s="70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customHeight="1">
      <c r="A201" s="67"/>
      <c r="B201" s="67"/>
      <c r="C201" s="70"/>
      <c r="D201" s="70"/>
      <c r="E201" s="67"/>
      <c r="F201" s="70"/>
      <c r="G201" s="70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customHeight="1">
      <c r="A202" s="67"/>
      <c r="B202" s="67"/>
      <c r="C202" s="70"/>
      <c r="D202" s="70"/>
      <c r="E202" s="67"/>
      <c r="F202" s="70"/>
      <c r="G202" s="70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customHeight="1">
      <c r="A203" s="67"/>
      <c r="B203" s="67"/>
      <c r="C203" s="70"/>
      <c r="D203" s="70"/>
      <c r="E203" s="67"/>
      <c r="F203" s="70"/>
      <c r="G203" s="70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customHeight="1">
      <c r="A204" s="67"/>
      <c r="B204" s="67"/>
      <c r="C204" s="70"/>
      <c r="D204" s="70"/>
      <c r="E204" s="67"/>
      <c r="F204" s="70"/>
      <c r="G204" s="70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customHeight="1">
      <c r="A205" s="67"/>
      <c r="B205" s="67"/>
      <c r="C205" s="70"/>
      <c r="D205" s="70"/>
      <c r="E205" s="67"/>
      <c r="F205" s="70"/>
      <c r="G205" s="70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customHeight="1">
      <c r="A206" s="67"/>
      <c r="B206" s="67"/>
      <c r="C206" s="70"/>
      <c r="D206" s="70"/>
      <c r="E206" s="67"/>
      <c r="F206" s="70"/>
      <c r="G206" s="70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customHeight="1">
      <c r="A207" s="67"/>
      <c r="B207" s="67"/>
      <c r="C207" s="70"/>
      <c r="D207" s="70"/>
      <c r="E207" s="67"/>
      <c r="F207" s="70"/>
      <c r="G207" s="70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customHeight="1">
      <c r="A208" s="67"/>
      <c r="B208" s="67"/>
      <c r="C208" s="70"/>
      <c r="D208" s="70"/>
      <c r="E208" s="67"/>
      <c r="F208" s="70"/>
      <c r="G208" s="70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customHeight="1">
      <c r="A209" s="67"/>
      <c r="B209" s="67"/>
      <c r="C209" s="70"/>
      <c r="D209" s="70"/>
      <c r="E209" s="67"/>
      <c r="F209" s="70"/>
      <c r="G209" s="70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customHeight="1">
      <c r="A210" s="67"/>
      <c r="B210" s="67"/>
      <c r="C210" s="70"/>
      <c r="D210" s="70"/>
      <c r="E210" s="67"/>
      <c r="F210" s="70"/>
      <c r="G210" s="70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customHeight="1">
      <c r="A211" s="67"/>
      <c r="B211" s="67"/>
      <c r="C211" s="70"/>
      <c r="D211" s="70"/>
      <c r="E211" s="67"/>
      <c r="F211" s="70"/>
      <c r="G211" s="70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customHeight="1">
      <c r="A212" s="67"/>
      <c r="B212" s="67"/>
      <c r="C212" s="70"/>
      <c r="D212" s="70"/>
      <c r="E212" s="67"/>
      <c r="F212" s="70"/>
      <c r="G212" s="70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customHeight="1">
      <c r="A213" s="67"/>
      <c r="B213" s="67"/>
      <c r="C213" s="70"/>
      <c r="D213" s="70"/>
      <c r="E213" s="67"/>
      <c r="F213" s="70"/>
      <c r="G213" s="70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customHeight="1">
      <c r="A214" s="67"/>
      <c r="B214" s="67"/>
      <c r="C214" s="70"/>
      <c r="D214" s="70"/>
      <c r="E214" s="67"/>
      <c r="F214" s="70"/>
      <c r="G214" s="70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customHeight="1">
      <c r="A215" s="67"/>
      <c r="B215" s="67"/>
      <c r="C215" s="70"/>
      <c r="D215" s="70"/>
      <c r="E215" s="67"/>
      <c r="F215" s="70"/>
      <c r="G215" s="70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customHeight="1">
      <c r="A216" s="67"/>
      <c r="B216" s="67"/>
      <c r="C216" s="70"/>
      <c r="D216" s="70"/>
      <c r="E216" s="67"/>
      <c r="F216" s="70"/>
      <c r="G216" s="70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customHeight="1">
      <c r="A217" s="67"/>
      <c r="B217" s="67"/>
      <c r="C217" s="70"/>
      <c r="D217" s="70"/>
      <c r="E217" s="67"/>
      <c r="F217" s="70"/>
      <c r="G217" s="70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customHeight="1">
      <c r="A218" s="67"/>
      <c r="B218" s="67"/>
      <c r="C218" s="70"/>
      <c r="D218" s="70"/>
      <c r="E218" s="67"/>
      <c r="F218" s="70"/>
      <c r="G218" s="70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customHeight="1">
      <c r="A219" s="67"/>
      <c r="B219" s="67"/>
      <c r="C219" s="70"/>
      <c r="D219" s="70"/>
      <c r="E219" s="67"/>
      <c r="F219" s="70"/>
      <c r="G219" s="70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customHeight="1">
      <c r="A220" s="67"/>
      <c r="B220" s="67"/>
      <c r="C220" s="70"/>
      <c r="D220" s="70"/>
      <c r="E220" s="67"/>
      <c r="F220" s="70"/>
      <c r="G220" s="70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customHeight="1">
      <c r="A221" s="67"/>
      <c r="B221" s="67"/>
      <c r="C221" s="70"/>
      <c r="D221" s="70"/>
      <c r="E221" s="67"/>
      <c r="F221" s="70"/>
      <c r="G221" s="70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customHeight="1">
      <c r="A222" s="67"/>
      <c r="B222" s="67"/>
      <c r="C222" s="70"/>
      <c r="D222" s="70"/>
      <c r="E222" s="67"/>
      <c r="F222" s="70"/>
      <c r="G222" s="70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customHeight="1">
      <c r="A223" s="67"/>
      <c r="B223" s="67"/>
      <c r="C223" s="70"/>
      <c r="D223" s="70"/>
      <c r="E223" s="67"/>
      <c r="F223" s="70"/>
      <c r="G223" s="70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customHeight="1">
      <c r="A224" s="67"/>
      <c r="B224" s="67"/>
      <c r="C224" s="70"/>
      <c r="D224" s="70"/>
      <c r="E224" s="67"/>
      <c r="F224" s="70"/>
      <c r="G224" s="70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customHeight="1">
      <c r="A225" s="67"/>
      <c r="B225" s="67"/>
      <c r="C225" s="70"/>
      <c r="D225" s="70"/>
      <c r="E225" s="67"/>
      <c r="F225" s="70"/>
      <c r="G225" s="70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customHeight="1">
      <c r="A226" s="67"/>
      <c r="B226" s="67"/>
      <c r="C226" s="70"/>
      <c r="D226" s="70"/>
      <c r="E226" s="67"/>
      <c r="F226" s="70"/>
      <c r="G226" s="70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5.75" customHeight="1">
      <c r="A227" s="67"/>
      <c r="B227" s="67"/>
      <c r="C227" s="70"/>
      <c r="D227" s="70"/>
      <c r="E227" s="67"/>
      <c r="F227" s="70"/>
      <c r="G227" s="70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5.75" customHeight="1">
      <c r="A228" s="67"/>
      <c r="B228" s="67"/>
      <c r="C228" s="70"/>
      <c r="D228" s="70"/>
      <c r="E228" s="67"/>
      <c r="F228" s="70"/>
      <c r="G228" s="70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customHeight="1">
      <c r="A229" s="67"/>
      <c r="B229" s="67"/>
      <c r="C229" s="70"/>
      <c r="D229" s="70"/>
      <c r="E229" s="67"/>
      <c r="F229" s="70"/>
      <c r="G229" s="70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5.75" customHeight="1">
      <c r="A230" s="67"/>
      <c r="B230" s="67"/>
      <c r="C230" s="70"/>
      <c r="D230" s="70"/>
      <c r="E230" s="67"/>
      <c r="F230" s="70"/>
      <c r="G230" s="70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5.75" customHeight="1">
      <c r="A231" s="67"/>
      <c r="B231" s="67"/>
      <c r="C231" s="70"/>
      <c r="D231" s="70"/>
      <c r="E231" s="67"/>
      <c r="F231" s="70"/>
      <c r="G231" s="70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5.75" customHeight="1">
      <c r="A232" s="67"/>
      <c r="B232" s="67"/>
      <c r="C232" s="70"/>
      <c r="D232" s="70"/>
      <c r="E232" s="67"/>
      <c r="F232" s="70"/>
      <c r="G232" s="70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5.75" customHeight="1">
      <c r="A233" s="67"/>
      <c r="B233" s="67"/>
      <c r="C233" s="70"/>
      <c r="D233" s="70"/>
      <c r="E233" s="67"/>
      <c r="F233" s="70"/>
      <c r="G233" s="70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5.75" customHeight="1">
      <c r="A234" s="67"/>
      <c r="B234" s="67"/>
      <c r="C234" s="70"/>
      <c r="D234" s="70"/>
      <c r="E234" s="67"/>
      <c r="F234" s="70"/>
      <c r="G234" s="70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5.75" customHeight="1">
      <c r="A235" s="67"/>
      <c r="B235" s="67"/>
      <c r="C235" s="70"/>
      <c r="D235" s="70"/>
      <c r="E235" s="67"/>
      <c r="F235" s="70"/>
      <c r="G235" s="70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5.75" customHeight="1">
      <c r="A236" s="67"/>
      <c r="B236" s="67"/>
      <c r="C236" s="70"/>
      <c r="D236" s="70"/>
      <c r="E236" s="67"/>
      <c r="F236" s="70"/>
      <c r="G236" s="70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5.75" customHeight="1">
      <c r="A237" s="67"/>
      <c r="B237" s="67"/>
      <c r="C237" s="70"/>
      <c r="D237" s="70"/>
      <c r="E237" s="67"/>
      <c r="F237" s="70"/>
      <c r="G237" s="70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5.75" customHeight="1">
      <c r="A238" s="67"/>
      <c r="B238" s="67"/>
      <c r="C238" s="70"/>
      <c r="D238" s="70"/>
      <c r="E238" s="67"/>
      <c r="F238" s="70"/>
      <c r="G238" s="70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5.75" customHeight="1">
      <c r="A239" s="67"/>
      <c r="B239" s="67"/>
      <c r="C239" s="70"/>
      <c r="D239" s="70"/>
      <c r="E239" s="67"/>
      <c r="F239" s="70"/>
      <c r="G239" s="70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5.75" customHeight="1">
      <c r="A240" s="67"/>
      <c r="B240" s="67"/>
      <c r="C240" s="70"/>
      <c r="D240" s="70"/>
      <c r="E240" s="67"/>
      <c r="F240" s="70"/>
      <c r="G240" s="70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5.75" customHeight="1">
      <c r="A241" s="67"/>
      <c r="B241" s="67"/>
      <c r="C241" s="70"/>
      <c r="D241" s="70"/>
      <c r="E241" s="67"/>
      <c r="F241" s="70"/>
      <c r="G241" s="70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5.75" customHeight="1">
      <c r="A242" s="67"/>
      <c r="B242" s="67"/>
      <c r="C242" s="70"/>
      <c r="D242" s="70"/>
      <c r="E242" s="67"/>
      <c r="F242" s="70"/>
      <c r="G242" s="70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5.75" customHeight="1">
      <c r="A243" s="67"/>
      <c r="B243" s="67"/>
      <c r="C243" s="70"/>
      <c r="D243" s="70"/>
      <c r="E243" s="67"/>
      <c r="F243" s="70"/>
      <c r="G243" s="70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5.75" customHeight="1">
      <c r="A244" s="67"/>
      <c r="B244" s="67"/>
      <c r="C244" s="70"/>
      <c r="D244" s="70"/>
      <c r="E244" s="67"/>
      <c r="F244" s="70"/>
      <c r="G244" s="70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5.75" customHeight="1">
      <c r="A245" s="67"/>
      <c r="B245" s="67"/>
      <c r="C245" s="70"/>
      <c r="D245" s="70"/>
      <c r="E245" s="67"/>
      <c r="F245" s="70"/>
      <c r="G245" s="70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5.75" customHeight="1">
      <c r="A246" s="67"/>
      <c r="B246" s="67"/>
      <c r="C246" s="70"/>
      <c r="D246" s="70"/>
      <c r="E246" s="67"/>
      <c r="F246" s="70"/>
      <c r="G246" s="70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5.75" customHeight="1">
      <c r="A247" s="67"/>
      <c r="B247" s="67"/>
      <c r="C247" s="70"/>
      <c r="D247" s="70"/>
      <c r="E247" s="67"/>
      <c r="F247" s="70"/>
      <c r="G247" s="70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5.75" customHeight="1">
      <c r="A248" s="67"/>
      <c r="B248" s="67"/>
      <c r="C248" s="70"/>
      <c r="D248" s="70"/>
      <c r="E248" s="67"/>
      <c r="F248" s="70"/>
      <c r="G248" s="70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5.75" customHeight="1">
      <c r="A249" s="67"/>
      <c r="B249" s="67"/>
      <c r="C249" s="70"/>
      <c r="D249" s="70"/>
      <c r="E249" s="67"/>
      <c r="F249" s="70"/>
      <c r="G249" s="70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5.75" customHeight="1">
      <c r="A250" s="67"/>
      <c r="B250" s="67"/>
      <c r="C250" s="70"/>
      <c r="D250" s="70"/>
      <c r="E250" s="67"/>
      <c r="F250" s="70"/>
      <c r="G250" s="70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5.75" customHeight="1">
      <c r="A251" s="67"/>
      <c r="B251" s="67"/>
      <c r="C251" s="70"/>
      <c r="D251" s="70"/>
      <c r="E251" s="67"/>
      <c r="F251" s="70"/>
      <c r="G251" s="70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5.75" customHeight="1">
      <c r="A252" s="67"/>
      <c r="B252" s="67"/>
      <c r="C252" s="70"/>
      <c r="D252" s="70"/>
      <c r="E252" s="67"/>
      <c r="F252" s="70"/>
      <c r="G252" s="70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5.75" customHeight="1">
      <c r="A253" s="67"/>
      <c r="B253" s="67"/>
      <c r="C253" s="70"/>
      <c r="D253" s="70"/>
      <c r="E253" s="67"/>
      <c r="F253" s="70"/>
      <c r="G253" s="70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5.75" customHeight="1">
      <c r="A254" s="67"/>
      <c r="B254" s="67"/>
      <c r="C254" s="70"/>
      <c r="D254" s="70"/>
      <c r="E254" s="67"/>
      <c r="F254" s="70"/>
      <c r="G254" s="70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5.75" customHeight="1">
      <c r="A255" s="67"/>
      <c r="B255" s="67"/>
      <c r="C255" s="70"/>
      <c r="D255" s="70"/>
      <c r="E255" s="67"/>
      <c r="F255" s="70"/>
      <c r="G255" s="70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5.75" customHeight="1">
      <c r="A256" s="67"/>
      <c r="B256" s="67"/>
      <c r="C256" s="70"/>
      <c r="D256" s="70"/>
      <c r="E256" s="67"/>
      <c r="F256" s="70"/>
      <c r="G256" s="70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5.75" customHeight="1">
      <c r="A257" s="67"/>
      <c r="B257" s="67"/>
      <c r="C257" s="70"/>
      <c r="D257" s="70"/>
      <c r="E257" s="67"/>
      <c r="F257" s="70"/>
      <c r="G257" s="70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customHeight="1">
      <c r="A258" s="67"/>
      <c r="B258" s="67"/>
      <c r="C258" s="70"/>
      <c r="D258" s="70"/>
      <c r="E258" s="67"/>
      <c r="F258" s="70"/>
      <c r="G258" s="70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customHeight="1">
      <c r="A259" s="67"/>
      <c r="B259" s="67"/>
      <c r="C259" s="70"/>
      <c r="D259" s="70"/>
      <c r="E259" s="67"/>
      <c r="F259" s="70"/>
      <c r="G259" s="70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customHeight="1">
      <c r="A260" s="67"/>
      <c r="B260" s="67"/>
      <c r="C260" s="70"/>
      <c r="D260" s="70"/>
      <c r="E260" s="67"/>
      <c r="F260" s="70"/>
      <c r="G260" s="70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customHeight="1">
      <c r="A261" s="67"/>
      <c r="B261" s="67"/>
      <c r="C261" s="70"/>
      <c r="D261" s="70"/>
      <c r="E261" s="67"/>
      <c r="F261" s="70"/>
      <c r="G261" s="70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customHeight="1">
      <c r="A262" s="67"/>
      <c r="B262" s="67"/>
      <c r="C262" s="70"/>
      <c r="D262" s="70"/>
      <c r="E262" s="67"/>
      <c r="F262" s="70"/>
      <c r="G262" s="70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customHeight="1">
      <c r="A263" s="67"/>
      <c r="B263" s="67"/>
      <c r="C263" s="70"/>
      <c r="D263" s="70"/>
      <c r="E263" s="67"/>
      <c r="F263" s="70"/>
      <c r="G263" s="70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customHeight="1">
      <c r="A264" s="67"/>
      <c r="B264" s="67"/>
      <c r="C264" s="70"/>
      <c r="D264" s="70"/>
      <c r="E264" s="67"/>
      <c r="F264" s="70"/>
      <c r="G264" s="70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customHeight="1">
      <c r="A265" s="67"/>
      <c r="B265" s="67"/>
      <c r="C265" s="70"/>
      <c r="D265" s="70"/>
      <c r="E265" s="67"/>
      <c r="F265" s="70"/>
      <c r="G265" s="70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customHeight="1">
      <c r="A266" s="67"/>
      <c r="B266" s="67"/>
      <c r="C266" s="70"/>
      <c r="D266" s="70"/>
      <c r="E266" s="67"/>
      <c r="F266" s="70"/>
      <c r="G266" s="70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customHeight="1">
      <c r="A267" s="67"/>
      <c r="B267" s="67"/>
      <c r="C267" s="70"/>
      <c r="D267" s="70"/>
      <c r="E267" s="67"/>
      <c r="F267" s="70"/>
      <c r="G267" s="70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customHeight="1">
      <c r="A268" s="67"/>
      <c r="B268" s="67"/>
      <c r="C268" s="70"/>
      <c r="D268" s="70"/>
      <c r="E268" s="67"/>
      <c r="F268" s="70"/>
      <c r="G268" s="70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customHeight="1">
      <c r="A269" s="67"/>
      <c r="B269" s="67"/>
      <c r="C269" s="70"/>
      <c r="D269" s="70"/>
      <c r="E269" s="67"/>
      <c r="F269" s="70"/>
      <c r="G269" s="70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customHeight="1">
      <c r="A270" s="67"/>
      <c r="B270" s="67"/>
      <c r="C270" s="70"/>
      <c r="D270" s="70"/>
      <c r="E270" s="67"/>
      <c r="F270" s="70"/>
      <c r="G270" s="70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customHeight="1">
      <c r="A271" s="67"/>
      <c r="B271" s="67"/>
      <c r="C271" s="70"/>
      <c r="D271" s="70"/>
      <c r="E271" s="67"/>
      <c r="F271" s="70"/>
      <c r="G271" s="70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customHeight="1">
      <c r="A272" s="67"/>
      <c r="B272" s="67"/>
      <c r="C272" s="70"/>
      <c r="D272" s="70"/>
      <c r="E272" s="67"/>
      <c r="F272" s="70"/>
      <c r="G272" s="70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customHeight="1">
      <c r="A273" s="67"/>
      <c r="B273" s="67"/>
      <c r="C273" s="70"/>
      <c r="D273" s="70"/>
      <c r="E273" s="67"/>
      <c r="F273" s="70"/>
      <c r="G273" s="70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customHeight="1">
      <c r="A274" s="67"/>
      <c r="B274" s="67"/>
      <c r="C274" s="70"/>
      <c r="D274" s="70"/>
      <c r="E274" s="67"/>
      <c r="F274" s="70"/>
      <c r="G274" s="70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customHeight="1">
      <c r="A275" s="67"/>
      <c r="B275" s="67"/>
      <c r="C275" s="70"/>
      <c r="D275" s="70"/>
      <c r="E275" s="67"/>
      <c r="F275" s="70"/>
      <c r="G275" s="70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customHeight="1">
      <c r="A276" s="67"/>
      <c r="B276" s="67"/>
      <c r="C276" s="70"/>
      <c r="D276" s="70"/>
      <c r="E276" s="67"/>
      <c r="F276" s="70"/>
      <c r="G276" s="70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customHeight="1">
      <c r="A277" s="67"/>
      <c r="B277" s="67"/>
      <c r="C277" s="70"/>
      <c r="D277" s="70"/>
      <c r="E277" s="67"/>
      <c r="F277" s="70"/>
      <c r="G277" s="70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customHeight="1">
      <c r="A278" s="67"/>
      <c r="B278" s="67"/>
      <c r="C278" s="70"/>
      <c r="D278" s="70"/>
      <c r="E278" s="67"/>
      <c r="F278" s="70"/>
      <c r="G278" s="70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customHeight="1">
      <c r="A279" s="67"/>
      <c r="B279" s="67"/>
      <c r="C279" s="70"/>
      <c r="D279" s="70"/>
      <c r="E279" s="67"/>
      <c r="F279" s="70"/>
      <c r="G279" s="70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customHeight="1">
      <c r="A280" s="67"/>
      <c r="B280" s="67"/>
      <c r="C280" s="70"/>
      <c r="D280" s="70"/>
      <c r="E280" s="67"/>
      <c r="F280" s="70"/>
      <c r="G280" s="70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customHeight="1">
      <c r="A281" s="67"/>
      <c r="B281" s="67"/>
      <c r="C281" s="70"/>
      <c r="D281" s="70"/>
      <c r="E281" s="67"/>
      <c r="F281" s="70"/>
      <c r="G281" s="70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customHeight="1">
      <c r="A282" s="67"/>
      <c r="B282" s="67"/>
      <c r="C282" s="70"/>
      <c r="D282" s="70"/>
      <c r="E282" s="67"/>
      <c r="F282" s="70"/>
      <c r="G282" s="70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customHeight="1">
      <c r="A283" s="67"/>
      <c r="B283" s="67"/>
      <c r="C283" s="70"/>
      <c r="D283" s="70"/>
      <c r="E283" s="67"/>
      <c r="F283" s="70"/>
      <c r="G283" s="70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customHeight="1">
      <c r="A284" s="67"/>
      <c r="B284" s="67"/>
      <c r="C284" s="70"/>
      <c r="D284" s="70"/>
      <c r="E284" s="67"/>
      <c r="F284" s="70"/>
      <c r="G284" s="70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customHeight="1">
      <c r="A285" s="67"/>
      <c r="B285" s="67"/>
      <c r="C285" s="70"/>
      <c r="D285" s="70"/>
      <c r="E285" s="67"/>
      <c r="F285" s="70"/>
      <c r="G285" s="70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customHeight="1">
      <c r="A286" s="67"/>
      <c r="B286" s="67"/>
      <c r="C286" s="70"/>
      <c r="D286" s="70"/>
      <c r="E286" s="67"/>
      <c r="F286" s="70"/>
      <c r="G286" s="70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customHeight="1">
      <c r="A287" s="67"/>
      <c r="B287" s="67"/>
      <c r="C287" s="70"/>
      <c r="D287" s="70"/>
      <c r="E287" s="67"/>
      <c r="F287" s="70"/>
      <c r="G287" s="70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customHeight="1">
      <c r="A288" s="67"/>
      <c r="B288" s="67"/>
      <c r="C288" s="70"/>
      <c r="D288" s="70"/>
      <c r="E288" s="67"/>
      <c r="F288" s="70"/>
      <c r="G288" s="70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customHeight="1">
      <c r="A289" s="67"/>
      <c r="B289" s="67"/>
      <c r="C289" s="70"/>
      <c r="D289" s="70"/>
      <c r="E289" s="67"/>
      <c r="F289" s="70"/>
      <c r="G289" s="70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customHeight="1">
      <c r="A290" s="67"/>
      <c r="B290" s="67"/>
      <c r="C290" s="70"/>
      <c r="D290" s="70"/>
      <c r="E290" s="67"/>
      <c r="F290" s="70"/>
      <c r="G290" s="70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customHeight="1">
      <c r="A291" s="67"/>
      <c r="B291" s="67"/>
      <c r="C291" s="70"/>
      <c r="D291" s="70"/>
      <c r="E291" s="67"/>
      <c r="F291" s="70"/>
      <c r="G291" s="70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customHeight="1">
      <c r="A292" s="67"/>
      <c r="B292" s="67"/>
      <c r="C292" s="70"/>
      <c r="D292" s="70"/>
      <c r="E292" s="67"/>
      <c r="F292" s="70"/>
      <c r="G292" s="70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customHeight="1">
      <c r="A293" s="67"/>
      <c r="B293" s="67"/>
      <c r="C293" s="70"/>
      <c r="D293" s="70"/>
      <c r="E293" s="67"/>
      <c r="F293" s="70"/>
      <c r="G293" s="70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customHeight="1">
      <c r="A294" s="67"/>
      <c r="B294" s="67"/>
      <c r="C294" s="70"/>
      <c r="D294" s="70"/>
      <c r="E294" s="67"/>
      <c r="F294" s="70"/>
      <c r="G294" s="70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customHeight="1">
      <c r="A295" s="67"/>
      <c r="B295" s="67"/>
      <c r="C295" s="70"/>
      <c r="D295" s="70"/>
      <c r="E295" s="67"/>
      <c r="F295" s="70"/>
      <c r="G295" s="70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customHeight="1">
      <c r="A296" s="67"/>
      <c r="B296" s="67"/>
      <c r="C296" s="70"/>
      <c r="D296" s="70"/>
      <c r="E296" s="67"/>
      <c r="F296" s="70"/>
      <c r="G296" s="70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customHeight="1">
      <c r="A297" s="67"/>
      <c r="B297" s="67"/>
      <c r="C297" s="70"/>
      <c r="D297" s="70"/>
      <c r="E297" s="67"/>
      <c r="F297" s="70"/>
      <c r="G297" s="70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customHeight="1">
      <c r="A298" s="67"/>
      <c r="B298" s="67"/>
      <c r="C298" s="70"/>
      <c r="D298" s="70"/>
      <c r="E298" s="67"/>
      <c r="F298" s="70"/>
      <c r="G298" s="70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customHeight="1">
      <c r="A299" s="67"/>
      <c r="B299" s="67"/>
      <c r="C299" s="70"/>
      <c r="D299" s="70"/>
      <c r="E299" s="67"/>
      <c r="F299" s="70"/>
      <c r="G299" s="70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customHeight="1">
      <c r="A300" s="67"/>
      <c r="B300" s="67"/>
      <c r="C300" s="70"/>
      <c r="D300" s="70"/>
      <c r="E300" s="67"/>
      <c r="F300" s="70"/>
      <c r="G300" s="70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customHeight="1">
      <c r="A301" s="67"/>
      <c r="B301" s="67"/>
      <c r="C301" s="70"/>
      <c r="D301" s="70"/>
      <c r="E301" s="67"/>
      <c r="F301" s="70"/>
      <c r="G301" s="70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customHeight="1">
      <c r="A302" s="67"/>
      <c r="B302" s="67"/>
      <c r="C302" s="70"/>
      <c r="D302" s="70"/>
      <c r="E302" s="67"/>
      <c r="F302" s="70"/>
      <c r="G302" s="70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customHeight="1">
      <c r="A303" s="67"/>
      <c r="B303" s="67"/>
      <c r="C303" s="70"/>
      <c r="D303" s="70"/>
      <c r="E303" s="67"/>
      <c r="F303" s="70"/>
      <c r="G303" s="70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customHeight="1">
      <c r="A304" s="67"/>
      <c r="B304" s="67"/>
      <c r="C304" s="70"/>
      <c r="D304" s="70"/>
      <c r="E304" s="67"/>
      <c r="F304" s="70"/>
      <c r="G304" s="70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customHeight="1">
      <c r="A305" s="67"/>
      <c r="B305" s="67"/>
      <c r="C305" s="70"/>
      <c r="D305" s="70"/>
      <c r="E305" s="67"/>
      <c r="F305" s="70"/>
      <c r="G305" s="70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customHeight="1">
      <c r="A306" s="67"/>
      <c r="B306" s="67"/>
      <c r="C306" s="70"/>
      <c r="D306" s="70"/>
      <c r="E306" s="67"/>
      <c r="F306" s="70"/>
      <c r="G306" s="70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customHeight="1">
      <c r="A307" s="67"/>
      <c r="B307" s="67"/>
      <c r="C307" s="70"/>
      <c r="D307" s="70"/>
      <c r="E307" s="67"/>
      <c r="F307" s="70"/>
      <c r="G307" s="70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customHeight="1">
      <c r="A308" s="67"/>
      <c r="B308" s="67"/>
      <c r="C308" s="70"/>
      <c r="D308" s="70"/>
      <c r="E308" s="67"/>
      <c r="F308" s="70"/>
      <c r="G308" s="70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customHeight="1">
      <c r="A309" s="67"/>
      <c r="B309" s="67"/>
      <c r="C309" s="70"/>
      <c r="D309" s="70"/>
      <c r="E309" s="67"/>
      <c r="F309" s="70"/>
      <c r="G309" s="70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customHeight="1">
      <c r="A310" s="67"/>
      <c r="B310" s="67"/>
      <c r="C310" s="70"/>
      <c r="D310" s="70"/>
      <c r="E310" s="67"/>
      <c r="F310" s="70"/>
      <c r="G310" s="70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customHeight="1">
      <c r="A311" s="67"/>
      <c r="B311" s="67"/>
      <c r="C311" s="70"/>
      <c r="D311" s="70"/>
      <c r="E311" s="67"/>
      <c r="F311" s="70"/>
      <c r="G311" s="70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customHeight="1">
      <c r="A312" s="67"/>
      <c r="B312" s="67"/>
      <c r="C312" s="70"/>
      <c r="D312" s="70"/>
      <c r="E312" s="67"/>
      <c r="F312" s="70"/>
      <c r="G312" s="70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customHeight="1">
      <c r="A313" s="67"/>
      <c r="B313" s="67"/>
      <c r="C313" s="70"/>
      <c r="D313" s="70"/>
      <c r="E313" s="67"/>
      <c r="F313" s="70"/>
      <c r="G313" s="70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customHeight="1">
      <c r="A314" s="67"/>
      <c r="B314" s="67"/>
      <c r="C314" s="70"/>
      <c r="D314" s="70"/>
      <c r="E314" s="67"/>
      <c r="F314" s="70"/>
      <c r="G314" s="70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customHeight="1">
      <c r="A315" s="67"/>
      <c r="B315" s="67"/>
      <c r="C315" s="70"/>
      <c r="D315" s="70"/>
      <c r="E315" s="67"/>
      <c r="F315" s="70"/>
      <c r="G315" s="70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customHeight="1">
      <c r="A316" s="67"/>
      <c r="B316" s="67"/>
      <c r="C316" s="70"/>
      <c r="D316" s="70"/>
      <c r="E316" s="67"/>
      <c r="F316" s="70"/>
      <c r="G316" s="70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customHeight="1">
      <c r="A317" s="67"/>
      <c r="B317" s="67"/>
      <c r="C317" s="70"/>
      <c r="D317" s="70"/>
      <c r="E317" s="67"/>
      <c r="F317" s="70"/>
      <c r="G317" s="70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customHeight="1">
      <c r="A318" s="67"/>
      <c r="B318" s="67"/>
      <c r="C318" s="70"/>
      <c r="D318" s="70"/>
      <c r="E318" s="67"/>
      <c r="F318" s="70"/>
      <c r="G318" s="70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customHeight="1">
      <c r="A319" s="67"/>
      <c r="B319" s="67"/>
      <c r="C319" s="70"/>
      <c r="D319" s="70"/>
      <c r="E319" s="67"/>
      <c r="F319" s="70"/>
      <c r="G319" s="70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customHeight="1">
      <c r="A320" s="67"/>
      <c r="B320" s="67"/>
      <c r="C320" s="70"/>
      <c r="D320" s="70"/>
      <c r="E320" s="67"/>
      <c r="F320" s="70"/>
      <c r="G320" s="70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customHeight="1">
      <c r="A321" s="67"/>
      <c r="B321" s="67"/>
      <c r="C321" s="70"/>
      <c r="D321" s="70"/>
      <c r="E321" s="67"/>
      <c r="F321" s="70"/>
      <c r="G321" s="70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customHeight="1">
      <c r="A322" s="67"/>
      <c r="B322" s="67"/>
      <c r="C322" s="70"/>
      <c r="D322" s="70"/>
      <c r="E322" s="67"/>
      <c r="F322" s="70"/>
      <c r="G322" s="70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customHeight="1">
      <c r="A323" s="67"/>
      <c r="B323" s="67"/>
      <c r="C323" s="70"/>
      <c r="D323" s="70"/>
      <c r="E323" s="67"/>
      <c r="F323" s="70"/>
      <c r="G323" s="70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5.75" customHeight="1">
      <c r="A324" s="67"/>
      <c r="B324" s="67"/>
      <c r="C324" s="70"/>
      <c r="D324" s="70"/>
      <c r="E324" s="67"/>
      <c r="F324" s="70"/>
      <c r="G324" s="70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5.75" customHeight="1">
      <c r="A325" s="67"/>
      <c r="B325" s="67"/>
      <c r="C325" s="70"/>
      <c r="D325" s="70"/>
      <c r="E325" s="67"/>
      <c r="F325" s="70"/>
      <c r="G325" s="70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5.75" customHeight="1">
      <c r="A326" s="67"/>
      <c r="B326" s="67"/>
      <c r="C326" s="70"/>
      <c r="D326" s="70"/>
      <c r="E326" s="67"/>
      <c r="F326" s="70"/>
      <c r="G326" s="70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5.75" customHeight="1">
      <c r="A327" s="67"/>
      <c r="B327" s="67"/>
      <c r="C327" s="70"/>
      <c r="D327" s="70"/>
      <c r="E327" s="67"/>
      <c r="F327" s="70"/>
      <c r="G327" s="70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5.75" customHeight="1">
      <c r="A328" s="67"/>
      <c r="B328" s="67"/>
      <c r="C328" s="70"/>
      <c r="D328" s="70"/>
      <c r="E328" s="67"/>
      <c r="F328" s="70"/>
      <c r="G328" s="70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5.75" customHeight="1">
      <c r="A329" s="67"/>
      <c r="B329" s="67"/>
      <c r="C329" s="70"/>
      <c r="D329" s="70"/>
      <c r="E329" s="67"/>
      <c r="F329" s="70"/>
      <c r="G329" s="70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5.75" customHeight="1">
      <c r="A330" s="67"/>
      <c r="B330" s="67"/>
      <c r="C330" s="70"/>
      <c r="D330" s="70"/>
      <c r="E330" s="67"/>
      <c r="F330" s="70"/>
      <c r="G330" s="70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5.75" customHeight="1">
      <c r="A331" s="67"/>
      <c r="B331" s="67"/>
      <c r="C331" s="70"/>
      <c r="D331" s="70"/>
      <c r="E331" s="67"/>
      <c r="F331" s="70"/>
      <c r="G331" s="70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5.75" customHeight="1">
      <c r="A332" s="67"/>
      <c r="B332" s="67"/>
      <c r="C332" s="70"/>
      <c r="D332" s="70"/>
      <c r="E332" s="67"/>
      <c r="F332" s="70"/>
      <c r="G332" s="70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5.75" customHeight="1">
      <c r="A333" s="67"/>
      <c r="B333" s="67"/>
      <c r="C333" s="70"/>
      <c r="D333" s="70"/>
      <c r="E333" s="67"/>
      <c r="F333" s="70"/>
      <c r="G333" s="70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5.75" customHeight="1">
      <c r="A334" s="67"/>
      <c r="B334" s="67"/>
      <c r="C334" s="70"/>
      <c r="D334" s="70"/>
      <c r="E334" s="67"/>
      <c r="F334" s="70"/>
      <c r="G334" s="70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5.75" customHeight="1">
      <c r="A335" s="67"/>
      <c r="B335" s="67"/>
      <c r="C335" s="70"/>
      <c r="D335" s="70"/>
      <c r="E335" s="67"/>
      <c r="F335" s="70"/>
      <c r="G335" s="70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5.75" customHeight="1">
      <c r="A336" s="67"/>
      <c r="B336" s="67"/>
      <c r="C336" s="70"/>
      <c r="D336" s="70"/>
      <c r="E336" s="67"/>
      <c r="F336" s="70"/>
      <c r="G336" s="70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5.75" customHeight="1">
      <c r="A337" s="67"/>
      <c r="B337" s="67"/>
      <c r="C337" s="70"/>
      <c r="D337" s="70"/>
      <c r="E337" s="67"/>
      <c r="F337" s="70"/>
      <c r="G337" s="70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5.75" customHeight="1">
      <c r="A338" s="67"/>
      <c r="B338" s="67"/>
      <c r="C338" s="70"/>
      <c r="D338" s="70"/>
      <c r="E338" s="67"/>
      <c r="F338" s="70"/>
      <c r="G338" s="70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5.75" customHeight="1">
      <c r="A339" s="67"/>
      <c r="B339" s="67"/>
      <c r="C339" s="70"/>
      <c r="D339" s="70"/>
      <c r="E339" s="67"/>
      <c r="F339" s="70"/>
      <c r="G339" s="70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5.75" customHeight="1">
      <c r="A340" s="67"/>
      <c r="B340" s="67"/>
      <c r="C340" s="70"/>
      <c r="D340" s="70"/>
      <c r="E340" s="67"/>
      <c r="F340" s="70"/>
      <c r="G340" s="70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5.75" customHeight="1">
      <c r="A341" s="67"/>
      <c r="B341" s="67"/>
      <c r="C341" s="70"/>
      <c r="D341" s="70"/>
      <c r="E341" s="67"/>
      <c r="F341" s="70"/>
      <c r="G341" s="70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3">
    <mergeCell ref="G1:H1"/>
    <mergeCell ref="I1:J1"/>
    <mergeCell ref="B8:J8"/>
  </mergeCells>
  <dataValidations>
    <dataValidation type="list" allowBlank="1" showErrorMessage="1" sqref="I10:I43 I45:I93 I95:I128 I130:I141">
      <formula1>$I$2:$I$5</formula1>
    </dataValidation>
    <dataValidation type="list" allowBlank="1" showErrorMessage="1" sqref="H10:H93 H95:H128 H130:H141">
      <formula1>$G$2:$G$5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4.86"/>
    <col customWidth="1" min="3" max="3" width="21.86"/>
    <col customWidth="1" min="4" max="4" width="17.29"/>
    <col customWidth="1" min="5" max="5" width="10.29"/>
    <col customWidth="1" min="6" max="6" width="11.0"/>
    <col customWidth="1" min="7" max="7" width="9.0"/>
    <col customWidth="1" min="8" max="12" width="5.86"/>
  </cols>
  <sheetData>
    <row r="1">
      <c r="A1" s="117" t="s">
        <v>424</v>
      </c>
      <c r="B1" s="107" t="s">
        <v>425</v>
      </c>
    </row>
    <row r="2">
      <c r="A2" s="117" t="s">
        <v>426</v>
      </c>
      <c r="C2" s="117" t="s">
        <v>427</v>
      </c>
    </row>
    <row r="3">
      <c r="A3" s="117" t="s">
        <v>428</v>
      </c>
      <c r="C3" s="117" t="s">
        <v>429</v>
      </c>
    </row>
    <row r="4">
      <c r="A4" s="117" t="s">
        <v>430</v>
      </c>
    </row>
    <row r="5">
      <c r="A5" s="117" t="s">
        <v>431</v>
      </c>
    </row>
    <row r="6">
      <c r="A6" s="117" t="s">
        <v>432</v>
      </c>
    </row>
    <row r="8">
      <c r="A8" s="117" t="s">
        <v>433</v>
      </c>
    </row>
    <row r="9">
      <c r="B9" s="117" t="s">
        <v>424</v>
      </c>
      <c r="C9" s="117" t="s">
        <v>426</v>
      </c>
      <c r="D9" s="117" t="s">
        <v>428</v>
      </c>
      <c r="E9" s="117" t="s">
        <v>430</v>
      </c>
      <c r="F9" s="117" t="s">
        <v>431</v>
      </c>
      <c r="G9" s="117" t="s">
        <v>432</v>
      </c>
      <c r="H9" s="117" t="s">
        <v>434</v>
      </c>
    </row>
    <row r="10">
      <c r="A10" s="117" t="s">
        <v>435</v>
      </c>
      <c r="B10" s="117" t="s">
        <v>436</v>
      </c>
      <c r="C10" s="117" t="s">
        <v>437</v>
      </c>
      <c r="D10" s="117" t="s">
        <v>438</v>
      </c>
      <c r="E10" s="117" t="s">
        <v>439</v>
      </c>
      <c r="F10" s="117" t="s">
        <v>439</v>
      </c>
      <c r="G10" s="117" t="s">
        <v>439</v>
      </c>
    </row>
    <row r="11">
      <c r="A11" s="117" t="s">
        <v>440</v>
      </c>
      <c r="B11" s="117" t="s">
        <v>436</v>
      </c>
      <c r="C11" s="117" t="s">
        <v>437</v>
      </c>
      <c r="D11" s="117" t="s">
        <v>441</v>
      </c>
      <c r="E11" s="117"/>
      <c r="F11" s="117"/>
      <c r="G11" s="117"/>
    </row>
    <row r="12">
      <c r="A12" s="117" t="s">
        <v>442</v>
      </c>
      <c r="B12" s="117"/>
      <c r="C12" s="117" t="s">
        <v>443</v>
      </c>
      <c r="D12" s="117" t="s">
        <v>438</v>
      </c>
      <c r="E12" s="117"/>
      <c r="F12" s="117"/>
      <c r="G12" s="117"/>
    </row>
    <row r="13">
      <c r="A13" s="117" t="s">
        <v>444</v>
      </c>
      <c r="B13" s="117"/>
      <c r="C13" s="117"/>
      <c r="D13" s="117" t="s">
        <v>441</v>
      </c>
      <c r="E13" s="117"/>
      <c r="F13" s="117"/>
      <c r="G13" s="117"/>
    </row>
    <row r="14">
      <c r="A14" s="117" t="s">
        <v>445</v>
      </c>
      <c r="B14" s="117" t="s">
        <v>446</v>
      </c>
      <c r="C14" s="117" t="s">
        <v>437</v>
      </c>
      <c r="D14" s="117" t="s">
        <v>438</v>
      </c>
      <c r="E14" s="117" t="s">
        <v>439</v>
      </c>
      <c r="F14" s="117" t="s">
        <v>439</v>
      </c>
      <c r="G14" s="117" t="s">
        <v>439</v>
      </c>
    </row>
    <row r="15">
      <c r="A15" s="117" t="s">
        <v>447</v>
      </c>
      <c r="B15" s="117"/>
      <c r="C15" s="117"/>
      <c r="D15" s="117" t="s">
        <v>441</v>
      </c>
      <c r="E15" s="117"/>
      <c r="F15" s="117"/>
      <c r="G15" s="117"/>
    </row>
    <row r="16">
      <c r="A16" s="117" t="s">
        <v>448</v>
      </c>
      <c r="B16" s="117"/>
      <c r="C16" s="117" t="s">
        <v>443</v>
      </c>
      <c r="D16" s="117" t="s">
        <v>438</v>
      </c>
      <c r="E16" s="117"/>
      <c r="F16" s="117"/>
      <c r="G16" s="117"/>
    </row>
    <row r="17">
      <c r="A17" s="117" t="s">
        <v>449</v>
      </c>
      <c r="B17" s="117"/>
      <c r="C17" s="117"/>
      <c r="D17" s="117" t="s">
        <v>441</v>
      </c>
      <c r="E17" s="117"/>
      <c r="F17" s="117"/>
      <c r="G17" s="117"/>
    </row>
    <row r="18">
      <c r="A18" s="117" t="s">
        <v>450</v>
      </c>
      <c r="B18" s="117" t="s">
        <v>451</v>
      </c>
      <c r="C18" s="117" t="s">
        <v>437</v>
      </c>
      <c r="D18" s="117" t="s">
        <v>438</v>
      </c>
      <c r="E18" s="117" t="s">
        <v>439</v>
      </c>
      <c r="F18" s="117" t="s">
        <v>439</v>
      </c>
      <c r="G18" s="117" t="s">
        <v>439</v>
      </c>
    </row>
    <row r="19">
      <c r="A19" s="117" t="s">
        <v>452</v>
      </c>
      <c r="C19" s="117"/>
      <c r="D19" s="117" t="s">
        <v>441</v>
      </c>
    </row>
    <row r="20">
      <c r="A20" s="117" t="s">
        <v>453</v>
      </c>
      <c r="C20" s="117" t="s">
        <v>443</v>
      </c>
      <c r="D20" s="117" t="s">
        <v>438</v>
      </c>
    </row>
    <row r="21">
      <c r="A21" s="117" t="s">
        <v>454</v>
      </c>
      <c r="D21" s="117" t="s">
        <v>441</v>
      </c>
    </row>
    <row r="25">
      <c r="A25" s="117" t="s">
        <v>258</v>
      </c>
    </row>
    <row r="26">
      <c r="A26" s="118" t="s">
        <v>455</v>
      </c>
      <c r="B26" s="118" t="s">
        <v>456</v>
      </c>
      <c r="C26" s="118" t="s">
        <v>457</v>
      </c>
    </row>
    <row r="27">
      <c r="A27" s="117" t="s">
        <v>377</v>
      </c>
      <c r="C27" s="117" t="s">
        <v>458</v>
      </c>
    </row>
    <row r="28">
      <c r="A28" s="117" t="s">
        <v>459</v>
      </c>
      <c r="C28" s="117" t="s">
        <v>460</v>
      </c>
    </row>
    <row r="29">
      <c r="A29" s="117" t="s">
        <v>65</v>
      </c>
      <c r="C29" s="117" t="s">
        <v>461</v>
      </c>
    </row>
    <row r="30">
      <c r="A30" s="117" t="s">
        <v>462</v>
      </c>
      <c r="C30" s="117" t="s">
        <v>463</v>
      </c>
    </row>
    <row r="31">
      <c r="C31" s="119" t="s">
        <v>464</v>
      </c>
    </row>
    <row r="33">
      <c r="C33" s="117" t="s">
        <v>435</v>
      </c>
    </row>
    <row r="34">
      <c r="A34" s="117" t="s">
        <v>424</v>
      </c>
      <c r="B34" s="117" t="s">
        <v>436</v>
      </c>
      <c r="C34" s="117" t="s">
        <v>465</v>
      </c>
      <c r="D34" s="117" t="s">
        <v>465</v>
      </c>
      <c r="E34" s="117" t="s">
        <v>465</v>
      </c>
    </row>
    <row r="35">
      <c r="A35" s="117" t="s">
        <v>426</v>
      </c>
      <c r="B35" s="120">
        <v>0.1</v>
      </c>
      <c r="C35" s="117" t="s">
        <v>466</v>
      </c>
      <c r="D35" s="117" t="s">
        <v>466</v>
      </c>
      <c r="E35" s="117" t="s">
        <v>467</v>
      </c>
    </row>
    <row r="36">
      <c r="A36" s="117" t="s">
        <v>468</v>
      </c>
      <c r="B36" s="117" t="s">
        <v>469</v>
      </c>
      <c r="C36" s="117" t="s">
        <v>469</v>
      </c>
      <c r="D36" s="117"/>
      <c r="E36" s="117"/>
    </row>
    <row r="37">
      <c r="A37" s="117" t="s">
        <v>428</v>
      </c>
      <c r="B37" s="117" t="s">
        <v>470</v>
      </c>
      <c r="C37" s="117" t="s">
        <v>471</v>
      </c>
      <c r="D37" s="117" t="s">
        <v>472</v>
      </c>
      <c r="E37" s="117" t="s">
        <v>472</v>
      </c>
    </row>
    <row r="38">
      <c r="C38" s="117" t="s">
        <v>473</v>
      </c>
      <c r="D38" s="117" t="s">
        <v>474</v>
      </c>
    </row>
    <row r="41">
      <c r="B41" s="117" t="s">
        <v>475</v>
      </c>
      <c r="C41" s="117" t="s">
        <v>439</v>
      </c>
      <c r="D41" s="117" t="s">
        <v>439</v>
      </c>
      <c r="E41" s="117" t="s">
        <v>439</v>
      </c>
      <c r="F41" s="117" t="s">
        <v>476</v>
      </c>
      <c r="G41" s="117" t="s">
        <v>476</v>
      </c>
    </row>
    <row r="42">
      <c r="B42" s="117" t="s">
        <v>477</v>
      </c>
      <c r="C42" s="117" t="s">
        <v>439</v>
      </c>
      <c r="D42" s="117" t="s">
        <v>476</v>
      </c>
      <c r="E42" s="117" t="s">
        <v>439</v>
      </c>
      <c r="F42" s="117" t="s">
        <v>439</v>
      </c>
      <c r="G42" s="117" t="s">
        <v>439</v>
      </c>
    </row>
    <row r="43">
      <c r="B43" s="117" t="s">
        <v>478</v>
      </c>
      <c r="C43" s="117" t="s">
        <v>439</v>
      </c>
      <c r="D43" s="117" t="s">
        <v>439</v>
      </c>
      <c r="E43" s="117" t="s">
        <v>476</v>
      </c>
      <c r="F43" s="117" t="s">
        <v>439</v>
      </c>
      <c r="G43" s="117" t="s">
        <v>439</v>
      </c>
    </row>
    <row r="44">
      <c r="C44" s="117" t="s">
        <v>479</v>
      </c>
      <c r="D44" s="117" t="s">
        <v>480</v>
      </c>
      <c r="E44" s="117" t="s">
        <v>481</v>
      </c>
      <c r="F44" s="117" t="s">
        <v>482</v>
      </c>
      <c r="G44" s="117" t="s">
        <v>482</v>
      </c>
    </row>
    <row r="49">
      <c r="A49" s="117" t="s">
        <v>483</v>
      </c>
    </row>
    <row r="50">
      <c r="A50" s="117" t="s">
        <v>484</v>
      </c>
    </row>
    <row r="51">
      <c r="A51" s="117" t="s">
        <v>483</v>
      </c>
    </row>
    <row r="52">
      <c r="A52" s="117" t="s">
        <v>485</v>
      </c>
    </row>
    <row r="53">
      <c r="A53" s="117" t="s">
        <v>486</v>
      </c>
    </row>
    <row r="54">
      <c r="A54" s="117" t="s">
        <v>487</v>
      </c>
    </row>
    <row r="55">
      <c r="A55" s="117" t="s">
        <v>488</v>
      </c>
    </row>
    <row r="56">
      <c r="A56" s="117" t="s">
        <v>489</v>
      </c>
    </row>
    <row r="57">
      <c r="A57" s="117" t="s">
        <v>490</v>
      </c>
    </row>
    <row r="58">
      <c r="A58" s="117" t="s">
        <v>491</v>
      </c>
    </row>
    <row r="59">
      <c r="A59" s="117" t="s">
        <v>492</v>
      </c>
    </row>
    <row r="60">
      <c r="A60" s="117" t="s">
        <v>493</v>
      </c>
    </row>
    <row r="61">
      <c r="A61" s="117" t="s">
        <v>494</v>
      </c>
    </row>
    <row r="62">
      <c r="A62" s="117" t="s">
        <v>495</v>
      </c>
    </row>
    <row r="63">
      <c r="A63" s="117" t="s">
        <v>496</v>
      </c>
    </row>
    <row r="64">
      <c r="A64" s="117" t="s">
        <v>497</v>
      </c>
    </row>
    <row r="65">
      <c r="A65" s="117" t="s">
        <v>498</v>
      </c>
    </row>
    <row r="66">
      <c r="A66" s="117" t="s">
        <v>499</v>
      </c>
    </row>
    <row r="67">
      <c r="A67" s="117" t="s">
        <v>500</v>
      </c>
    </row>
    <row r="68">
      <c r="A68" s="117" t="s">
        <v>494</v>
      </c>
    </row>
    <row r="69">
      <c r="A69" s="117" t="s">
        <v>501</v>
      </c>
    </row>
    <row r="70">
      <c r="A70" s="117" t="s">
        <v>499</v>
      </c>
    </row>
    <row r="71">
      <c r="A71" s="117" t="s">
        <v>502</v>
      </c>
    </row>
    <row r="72">
      <c r="A72" s="117" t="s">
        <v>503</v>
      </c>
    </row>
    <row r="73">
      <c r="A73" s="117" t="s">
        <v>499</v>
      </c>
    </row>
    <row r="74">
      <c r="A74" s="117" t="s">
        <v>483</v>
      </c>
    </row>
    <row r="75">
      <c r="A75" s="117" t="s">
        <v>504</v>
      </c>
    </row>
    <row r="76">
      <c r="A76" s="117" t="s">
        <v>505</v>
      </c>
    </row>
    <row r="77">
      <c r="A77" s="117" t="s">
        <v>506</v>
      </c>
    </row>
    <row r="78">
      <c r="A78" s="117" t="s">
        <v>507</v>
      </c>
    </row>
    <row r="79">
      <c r="A79" s="117" t="s">
        <v>508</v>
      </c>
    </row>
    <row r="80">
      <c r="A80" s="117" t="s">
        <v>509</v>
      </c>
    </row>
    <row r="81">
      <c r="A81" s="117" t="s">
        <v>510</v>
      </c>
    </row>
    <row r="82">
      <c r="A82" s="117" t="s">
        <v>492</v>
      </c>
    </row>
    <row r="83">
      <c r="A83" s="117" t="s">
        <v>493</v>
      </c>
    </row>
    <row r="84">
      <c r="A84" s="117" t="s">
        <v>494</v>
      </c>
    </row>
    <row r="85">
      <c r="A85" s="117" t="s">
        <v>495</v>
      </c>
    </row>
    <row r="86">
      <c r="A86" s="117" t="s">
        <v>496</v>
      </c>
    </row>
    <row r="87">
      <c r="A87" s="117" t="s">
        <v>497</v>
      </c>
    </row>
    <row r="88">
      <c r="A88" s="117" t="s">
        <v>498</v>
      </c>
    </row>
    <row r="89">
      <c r="A89" s="117" t="s">
        <v>499</v>
      </c>
    </row>
    <row r="90">
      <c r="A90" s="117" t="s">
        <v>500</v>
      </c>
    </row>
    <row r="91">
      <c r="A91" s="117" t="s">
        <v>511</v>
      </c>
    </row>
    <row r="92">
      <c r="A92" s="117" t="s">
        <v>512</v>
      </c>
    </row>
    <row r="93">
      <c r="A93" s="117" t="s">
        <v>499</v>
      </c>
    </row>
    <row r="94">
      <c r="A94" s="117" t="s">
        <v>513</v>
      </c>
    </row>
    <row r="95">
      <c r="A95" s="117" t="s">
        <v>503</v>
      </c>
    </row>
    <row r="96">
      <c r="A96" s="117" t="s">
        <v>499</v>
      </c>
    </row>
    <row r="97">
      <c r="A97" s="117" t="s">
        <v>483</v>
      </c>
    </row>
    <row r="98">
      <c r="A98" s="117" t="s">
        <v>514</v>
      </c>
    </row>
    <row r="99">
      <c r="A99" s="117" t="s">
        <v>515</v>
      </c>
    </row>
    <row r="100">
      <c r="A100" s="117" t="s">
        <v>516</v>
      </c>
    </row>
    <row r="101">
      <c r="A101" s="117" t="s">
        <v>517</v>
      </c>
    </row>
    <row r="102">
      <c r="A102" s="117" t="s">
        <v>518</v>
      </c>
    </row>
    <row r="103">
      <c r="A103" s="117" t="s">
        <v>519</v>
      </c>
    </row>
    <row r="104">
      <c r="A104" s="117" t="s">
        <v>520</v>
      </c>
    </row>
    <row r="105">
      <c r="A105" s="117" t="s">
        <v>492</v>
      </c>
    </row>
    <row r="106">
      <c r="A106" s="117" t="s">
        <v>493</v>
      </c>
    </row>
    <row r="107">
      <c r="A107" s="117" t="s">
        <v>494</v>
      </c>
    </row>
    <row r="108">
      <c r="A108" s="117" t="s">
        <v>495</v>
      </c>
    </row>
    <row r="109">
      <c r="A109" s="117" t="s">
        <v>496</v>
      </c>
    </row>
    <row r="110">
      <c r="A110" s="117" t="s">
        <v>497</v>
      </c>
    </row>
    <row r="111">
      <c r="A111" s="117" t="s">
        <v>498</v>
      </c>
    </row>
    <row r="112">
      <c r="A112" s="117" t="s">
        <v>499</v>
      </c>
    </row>
    <row r="113">
      <c r="A113" s="117" t="s">
        <v>500</v>
      </c>
    </row>
    <row r="114">
      <c r="A114" s="117" t="s">
        <v>511</v>
      </c>
    </row>
    <row r="115">
      <c r="A115" s="117" t="s">
        <v>512</v>
      </c>
    </row>
    <row r="116">
      <c r="A116" s="117" t="s">
        <v>499</v>
      </c>
    </row>
    <row r="117">
      <c r="A117" s="117" t="s">
        <v>502</v>
      </c>
    </row>
    <row r="118">
      <c r="A118" s="117" t="s">
        <v>503</v>
      </c>
    </row>
    <row r="119">
      <c r="A119" s="117" t="s">
        <v>499</v>
      </c>
    </row>
    <row r="120">
      <c r="A120" s="117" t="s">
        <v>483</v>
      </c>
    </row>
    <row r="121">
      <c r="A121" s="117" t="s">
        <v>521</v>
      </c>
    </row>
    <row r="122">
      <c r="A122" s="117" t="s">
        <v>522</v>
      </c>
    </row>
    <row r="123">
      <c r="A123" s="117" t="s">
        <v>523</v>
      </c>
    </row>
    <row r="124">
      <c r="A124" s="117" t="s">
        <v>524</v>
      </c>
    </row>
    <row r="125">
      <c r="A125" s="117" t="s">
        <v>525</v>
      </c>
    </row>
    <row r="126">
      <c r="A126" s="117" t="s">
        <v>526</v>
      </c>
    </row>
    <row r="127">
      <c r="A127" s="117" t="s">
        <v>527</v>
      </c>
    </row>
    <row r="128">
      <c r="A128" s="117" t="s">
        <v>492</v>
      </c>
    </row>
    <row r="129">
      <c r="A129" s="117" t="s">
        <v>493</v>
      </c>
    </row>
    <row r="130">
      <c r="A130" s="117" t="s">
        <v>511</v>
      </c>
    </row>
    <row r="131">
      <c r="A131" s="117" t="s">
        <v>528</v>
      </c>
    </row>
    <row r="132">
      <c r="A132" s="117" t="s">
        <v>529</v>
      </c>
    </row>
    <row r="133">
      <c r="A133" s="117" t="s">
        <v>530</v>
      </c>
    </row>
    <row r="134">
      <c r="A134" s="117" t="s">
        <v>498</v>
      </c>
    </row>
    <row r="135">
      <c r="A135" s="117" t="s">
        <v>499</v>
      </c>
    </row>
    <row r="136">
      <c r="A136" s="117" t="s">
        <v>500</v>
      </c>
    </row>
    <row r="137">
      <c r="A137" s="117" t="s">
        <v>531</v>
      </c>
    </row>
    <row r="138">
      <c r="A138" s="117" t="s">
        <v>532</v>
      </c>
    </row>
    <row r="139">
      <c r="A139" s="117" t="s">
        <v>499</v>
      </c>
    </row>
    <row r="140">
      <c r="A140" s="117" t="s">
        <v>533</v>
      </c>
    </row>
    <row r="141">
      <c r="A141" s="117" t="s">
        <v>503</v>
      </c>
    </row>
    <row r="142">
      <c r="A142" s="117" t="s">
        <v>499</v>
      </c>
    </row>
    <row r="143">
      <c r="A143" s="117" t="s">
        <v>483</v>
      </c>
    </row>
    <row r="144">
      <c r="A144" s="117" t="s">
        <v>534</v>
      </c>
    </row>
    <row r="145">
      <c r="A145" s="117" t="s">
        <v>535</v>
      </c>
    </row>
    <row r="146">
      <c r="A146" s="117" t="s">
        <v>536</v>
      </c>
    </row>
    <row r="147">
      <c r="A147" s="117" t="s">
        <v>537</v>
      </c>
    </row>
    <row r="148">
      <c r="A148" s="117" t="s">
        <v>538</v>
      </c>
    </row>
    <row r="149">
      <c r="A149" s="117" t="s">
        <v>539</v>
      </c>
    </row>
    <row r="150">
      <c r="A150" s="117" t="s">
        <v>540</v>
      </c>
    </row>
    <row r="151">
      <c r="A151" s="117" t="s">
        <v>492</v>
      </c>
    </row>
    <row r="152">
      <c r="A152" s="117" t="s">
        <v>493</v>
      </c>
    </row>
    <row r="153">
      <c r="A153" s="117" t="s">
        <v>511</v>
      </c>
    </row>
    <row r="154">
      <c r="A154" s="117" t="s">
        <v>528</v>
      </c>
    </row>
    <row r="155">
      <c r="A155" s="117" t="s">
        <v>529</v>
      </c>
    </row>
    <row r="156">
      <c r="A156" s="117" t="s">
        <v>530</v>
      </c>
    </row>
    <row r="157">
      <c r="A157" s="117" t="s">
        <v>498</v>
      </c>
    </row>
    <row r="158">
      <c r="A158" s="117" t="s">
        <v>499</v>
      </c>
    </row>
    <row r="159">
      <c r="A159" s="117" t="s">
        <v>500</v>
      </c>
    </row>
    <row r="160">
      <c r="A160" s="117" t="s">
        <v>531</v>
      </c>
    </row>
    <row r="161">
      <c r="A161" s="117" t="s">
        <v>532</v>
      </c>
    </row>
    <row r="162">
      <c r="A162" s="117" t="s">
        <v>499</v>
      </c>
    </row>
    <row r="163">
      <c r="A163" s="117" t="s">
        <v>541</v>
      </c>
    </row>
    <row r="164">
      <c r="A164" s="117" t="s">
        <v>503</v>
      </c>
    </row>
    <row r="165">
      <c r="A165" s="117" t="s">
        <v>499</v>
      </c>
    </row>
    <row r="166">
      <c r="A166" s="117" t="s">
        <v>483</v>
      </c>
    </row>
    <row r="167">
      <c r="A167" s="117" t="s">
        <v>542</v>
      </c>
    </row>
    <row r="168">
      <c r="A168" s="117" t="s">
        <v>543</v>
      </c>
    </row>
    <row r="169">
      <c r="A169" s="117" t="s">
        <v>544</v>
      </c>
    </row>
    <row r="170">
      <c r="A170" s="117" t="s">
        <v>545</v>
      </c>
    </row>
    <row r="171">
      <c r="A171" s="117" t="s">
        <v>546</v>
      </c>
    </row>
    <row r="172">
      <c r="A172" s="117" t="s">
        <v>547</v>
      </c>
    </row>
    <row r="173">
      <c r="A173" s="117" t="s">
        <v>548</v>
      </c>
    </row>
    <row r="174">
      <c r="A174" s="117" t="s">
        <v>492</v>
      </c>
    </row>
    <row r="175">
      <c r="A175" s="117" t="s">
        <v>493</v>
      </c>
    </row>
    <row r="176">
      <c r="A176" s="117" t="s">
        <v>511</v>
      </c>
    </row>
    <row r="177">
      <c r="A177" s="117" t="s">
        <v>528</v>
      </c>
    </row>
    <row r="178">
      <c r="A178" s="117" t="s">
        <v>529</v>
      </c>
    </row>
    <row r="179">
      <c r="A179" s="117" t="s">
        <v>530</v>
      </c>
    </row>
    <row r="180">
      <c r="A180" s="117" t="s">
        <v>498</v>
      </c>
    </row>
    <row r="181">
      <c r="A181" s="117" t="s">
        <v>499</v>
      </c>
    </row>
    <row r="182">
      <c r="A182" s="117" t="s">
        <v>500</v>
      </c>
    </row>
    <row r="183">
      <c r="A183" s="117" t="s">
        <v>531</v>
      </c>
    </row>
    <row r="184">
      <c r="A184" s="117" t="s">
        <v>532</v>
      </c>
    </row>
    <row r="185">
      <c r="A185" s="117" t="s">
        <v>499</v>
      </c>
    </row>
    <row r="186">
      <c r="A186" s="117" t="s">
        <v>549</v>
      </c>
    </row>
    <row r="187">
      <c r="A187" s="117" t="s">
        <v>503</v>
      </c>
    </row>
    <row r="188">
      <c r="A188" s="117" t="s">
        <v>499</v>
      </c>
    </row>
    <row r="189">
      <c r="A189" s="117" t="s">
        <v>483</v>
      </c>
    </row>
    <row r="190">
      <c r="A190" s="117" t="s">
        <v>550</v>
      </c>
    </row>
    <row r="191">
      <c r="A191" s="117" t="s">
        <v>551</v>
      </c>
    </row>
    <row r="192">
      <c r="A192" s="117" t="s">
        <v>552</v>
      </c>
    </row>
    <row r="193">
      <c r="A193" s="117" t="s">
        <v>553</v>
      </c>
    </row>
    <row r="194">
      <c r="A194" s="117" t="s">
        <v>554</v>
      </c>
    </row>
    <row r="195">
      <c r="A195" s="117" t="s">
        <v>555</v>
      </c>
    </row>
    <row r="196">
      <c r="A196" s="117" t="s">
        <v>556</v>
      </c>
    </row>
    <row r="197">
      <c r="A197" s="117" t="s">
        <v>492</v>
      </c>
    </row>
    <row r="198">
      <c r="A198" s="117" t="s">
        <v>493</v>
      </c>
    </row>
    <row r="199">
      <c r="A199" s="117" t="s">
        <v>511</v>
      </c>
    </row>
    <row r="200">
      <c r="A200" s="117" t="s">
        <v>528</v>
      </c>
    </row>
    <row r="201">
      <c r="A201" s="117" t="s">
        <v>529</v>
      </c>
    </row>
    <row r="202">
      <c r="A202" s="117" t="s">
        <v>530</v>
      </c>
    </row>
    <row r="203">
      <c r="A203" s="117" t="s">
        <v>498</v>
      </c>
    </row>
    <row r="204">
      <c r="A204" s="117" t="s">
        <v>499</v>
      </c>
    </row>
    <row r="205">
      <c r="A205" s="117" t="s">
        <v>500</v>
      </c>
    </row>
    <row r="206">
      <c r="A206" s="117" t="s">
        <v>557</v>
      </c>
    </row>
    <row r="207">
      <c r="A207" s="117" t="s">
        <v>558</v>
      </c>
    </row>
    <row r="208">
      <c r="A208" s="117" t="s">
        <v>499</v>
      </c>
    </row>
    <row r="209">
      <c r="A209" s="117" t="s">
        <v>559</v>
      </c>
    </row>
    <row r="210">
      <c r="A210" s="117" t="s">
        <v>503</v>
      </c>
    </row>
    <row r="211">
      <c r="A211" s="117" t="s">
        <v>499</v>
      </c>
    </row>
    <row r="212">
      <c r="A212" s="117" t="s">
        <v>483</v>
      </c>
    </row>
    <row r="213">
      <c r="A213" s="117" t="s">
        <v>560</v>
      </c>
    </row>
    <row r="214">
      <c r="A214" s="117" t="s">
        <v>561</v>
      </c>
    </row>
    <row r="215">
      <c r="A215" s="117" t="s">
        <v>562</v>
      </c>
    </row>
    <row r="216">
      <c r="A216" s="117" t="s">
        <v>563</v>
      </c>
    </row>
    <row r="217">
      <c r="A217" s="117" t="s">
        <v>564</v>
      </c>
    </row>
    <row r="218">
      <c r="A218" s="117" t="s">
        <v>565</v>
      </c>
    </row>
    <row r="219">
      <c r="A219" s="117" t="s">
        <v>566</v>
      </c>
    </row>
    <row r="220">
      <c r="A220" s="117" t="s">
        <v>492</v>
      </c>
    </row>
    <row r="221">
      <c r="A221" s="117" t="s">
        <v>493</v>
      </c>
    </row>
    <row r="222">
      <c r="A222" s="117" t="s">
        <v>511</v>
      </c>
    </row>
    <row r="223">
      <c r="A223" s="117" t="s">
        <v>528</v>
      </c>
    </row>
    <row r="224">
      <c r="A224" s="117" t="s">
        <v>529</v>
      </c>
    </row>
    <row r="225">
      <c r="A225" s="117" t="s">
        <v>530</v>
      </c>
    </row>
    <row r="226">
      <c r="A226" s="117" t="s">
        <v>498</v>
      </c>
    </row>
    <row r="227">
      <c r="A227" s="117" t="s">
        <v>499</v>
      </c>
    </row>
    <row r="228">
      <c r="A228" s="117" t="s">
        <v>500</v>
      </c>
    </row>
    <row r="229">
      <c r="A229" s="117" t="s">
        <v>557</v>
      </c>
    </row>
    <row r="230">
      <c r="A230" s="117" t="s">
        <v>558</v>
      </c>
    </row>
    <row r="231">
      <c r="A231" s="117" t="s">
        <v>499</v>
      </c>
    </row>
    <row r="232">
      <c r="A232" s="117" t="s">
        <v>567</v>
      </c>
    </row>
    <row r="233">
      <c r="A233" s="117" t="s">
        <v>503</v>
      </c>
    </row>
    <row r="234">
      <c r="A234" s="117" t="s">
        <v>499</v>
      </c>
    </row>
    <row r="235">
      <c r="A235" s="117" t="s">
        <v>483</v>
      </c>
    </row>
    <row r="236">
      <c r="A236" s="117" t="s">
        <v>568</v>
      </c>
    </row>
    <row r="237">
      <c r="A237" s="117" t="s">
        <v>569</v>
      </c>
    </row>
    <row r="238">
      <c r="A238" s="117" t="s">
        <v>570</v>
      </c>
    </row>
    <row r="239">
      <c r="A239" s="117" t="s">
        <v>571</v>
      </c>
    </row>
    <row r="240">
      <c r="A240" s="117" t="s">
        <v>572</v>
      </c>
    </row>
    <row r="241">
      <c r="A241" s="117" t="s">
        <v>573</v>
      </c>
    </row>
    <row r="242">
      <c r="A242" s="117" t="s">
        <v>574</v>
      </c>
    </row>
    <row r="243">
      <c r="A243" s="117" t="s">
        <v>492</v>
      </c>
    </row>
    <row r="244">
      <c r="A244" s="117" t="s">
        <v>493</v>
      </c>
    </row>
    <row r="245">
      <c r="A245" s="117" t="s">
        <v>531</v>
      </c>
    </row>
    <row r="246">
      <c r="A246" s="117" t="s">
        <v>575</v>
      </c>
    </row>
    <row r="247">
      <c r="A247" s="117" t="s">
        <v>576</v>
      </c>
    </row>
    <row r="248">
      <c r="A248" s="117" t="s">
        <v>577</v>
      </c>
    </row>
    <row r="249">
      <c r="A249" s="117" t="s">
        <v>498</v>
      </c>
    </row>
    <row r="250">
      <c r="A250" s="117" t="s">
        <v>499</v>
      </c>
    </row>
    <row r="251">
      <c r="A251" s="117" t="s">
        <v>500</v>
      </c>
    </row>
    <row r="252">
      <c r="A252" s="117" t="s">
        <v>494</v>
      </c>
    </row>
    <row r="253">
      <c r="A253" s="117" t="s">
        <v>501</v>
      </c>
    </row>
    <row r="254">
      <c r="A254" s="117" t="s">
        <v>499</v>
      </c>
    </row>
    <row r="255">
      <c r="A255" s="117" t="s">
        <v>533</v>
      </c>
    </row>
    <row r="256">
      <c r="A256" s="117" t="s">
        <v>503</v>
      </c>
    </row>
    <row r="257">
      <c r="A257" s="117" t="s">
        <v>499</v>
      </c>
    </row>
    <row r="258">
      <c r="A258" s="117" t="s">
        <v>483</v>
      </c>
    </row>
    <row r="259">
      <c r="A259" s="117" t="s">
        <v>578</v>
      </c>
    </row>
    <row r="260">
      <c r="A260" s="117" t="s">
        <v>579</v>
      </c>
    </row>
    <row r="261">
      <c r="A261" s="117" t="s">
        <v>580</v>
      </c>
    </row>
    <row r="262">
      <c r="A262" s="117" t="s">
        <v>581</v>
      </c>
    </row>
    <row r="263">
      <c r="A263" s="117" t="s">
        <v>582</v>
      </c>
    </row>
    <row r="264">
      <c r="A264" s="117" t="s">
        <v>583</v>
      </c>
    </row>
    <row r="265">
      <c r="A265" s="117" t="s">
        <v>584</v>
      </c>
    </row>
    <row r="266">
      <c r="A266" s="117" t="s">
        <v>492</v>
      </c>
    </row>
    <row r="267">
      <c r="A267" s="117" t="s">
        <v>493</v>
      </c>
    </row>
    <row r="268">
      <c r="A268" s="117" t="s">
        <v>531</v>
      </c>
    </row>
    <row r="269">
      <c r="A269" s="117" t="s">
        <v>575</v>
      </c>
    </row>
    <row r="270">
      <c r="A270" s="117" t="s">
        <v>576</v>
      </c>
    </row>
    <row r="271">
      <c r="A271" s="117" t="s">
        <v>577</v>
      </c>
    </row>
    <row r="272">
      <c r="A272" s="117" t="s">
        <v>498</v>
      </c>
    </row>
    <row r="273">
      <c r="A273" s="117" t="s">
        <v>499</v>
      </c>
    </row>
    <row r="274">
      <c r="A274" s="117" t="s">
        <v>500</v>
      </c>
    </row>
    <row r="275">
      <c r="A275" s="117" t="s">
        <v>494</v>
      </c>
    </row>
    <row r="276">
      <c r="A276" s="117" t="s">
        <v>501</v>
      </c>
    </row>
    <row r="277">
      <c r="A277" s="117" t="s">
        <v>499</v>
      </c>
    </row>
    <row r="278">
      <c r="A278" s="117" t="s">
        <v>513</v>
      </c>
    </row>
    <row r="279">
      <c r="A279" s="117" t="s">
        <v>503</v>
      </c>
    </row>
    <row r="280">
      <c r="A280" s="117" t="s">
        <v>499</v>
      </c>
    </row>
    <row r="281">
      <c r="A281" s="117" t="s">
        <v>483</v>
      </c>
    </row>
    <row r="282">
      <c r="A282" s="117" t="s">
        <v>585</v>
      </c>
    </row>
    <row r="283">
      <c r="A283" s="117" t="s">
        <v>586</v>
      </c>
    </row>
    <row r="284">
      <c r="A284" s="117" t="s">
        <v>587</v>
      </c>
    </row>
    <row r="285">
      <c r="A285" s="117" t="s">
        <v>588</v>
      </c>
    </row>
    <row r="286">
      <c r="A286" s="117" t="s">
        <v>589</v>
      </c>
    </row>
    <row r="287">
      <c r="A287" s="117" t="s">
        <v>590</v>
      </c>
    </row>
    <row r="288">
      <c r="A288" s="117" t="s">
        <v>591</v>
      </c>
    </row>
    <row r="289">
      <c r="A289" s="117" t="s">
        <v>492</v>
      </c>
    </row>
    <row r="290">
      <c r="A290" s="117" t="s">
        <v>493</v>
      </c>
    </row>
    <row r="291">
      <c r="A291" s="117" t="s">
        <v>531</v>
      </c>
    </row>
    <row r="292">
      <c r="A292" s="117" t="s">
        <v>575</v>
      </c>
    </row>
    <row r="293">
      <c r="A293" s="117" t="s">
        <v>576</v>
      </c>
    </row>
    <row r="294">
      <c r="A294" s="117" t="s">
        <v>577</v>
      </c>
    </row>
    <row r="295">
      <c r="A295" s="117" t="s">
        <v>498</v>
      </c>
    </row>
    <row r="296">
      <c r="A296" s="117" t="s">
        <v>499</v>
      </c>
    </row>
    <row r="297">
      <c r="A297" s="117" t="s">
        <v>500</v>
      </c>
    </row>
    <row r="298">
      <c r="A298" s="117" t="s">
        <v>531</v>
      </c>
    </row>
    <row r="299">
      <c r="A299" s="117" t="s">
        <v>532</v>
      </c>
    </row>
    <row r="300">
      <c r="A300" s="117" t="s">
        <v>499</v>
      </c>
    </row>
    <row r="301">
      <c r="A301" s="117" t="s">
        <v>502</v>
      </c>
    </row>
    <row r="302">
      <c r="A302" s="117" t="s">
        <v>503</v>
      </c>
    </row>
    <row r="303">
      <c r="A303" s="117" t="s">
        <v>499</v>
      </c>
    </row>
    <row r="304">
      <c r="A304" s="117" t="s">
        <v>483</v>
      </c>
    </row>
    <row r="305">
      <c r="A305" s="117" t="s">
        <v>592</v>
      </c>
    </row>
    <row r="306">
      <c r="A306" s="117" t="s">
        <v>593</v>
      </c>
    </row>
    <row r="307">
      <c r="A307" s="117" t="s">
        <v>594</v>
      </c>
    </row>
    <row r="308">
      <c r="A308" s="117" t="s">
        <v>595</v>
      </c>
    </row>
    <row r="309">
      <c r="A309" s="117" t="s">
        <v>596</v>
      </c>
    </row>
    <row r="310">
      <c r="A310" s="117" t="s">
        <v>597</v>
      </c>
    </row>
    <row r="311">
      <c r="A311" s="117" t="s">
        <v>598</v>
      </c>
    </row>
    <row r="312">
      <c r="A312" s="117" t="s">
        <v>492</v>
      </c>
    </row>
    <row r="313">
      <c r="A313" s="117" t="s">
        <v>493</v>
      </c>
    </row>
    <row r="314">
      <c r="A314" s="117" t="s">
        <v>531</v>
      </c>
    </row>
    <row r="315">
      <c r="A315" s="117" t="s">
        <v>575</v>
      </c>
    </row>
    <row r="316">
      <c r="A316" s="117" t="s">
        <v>576</v>
      </c>
    </row>
    <row r="317">
      <c r="A317" s="117" t="s">
        <v>577</v>
      </c>
    </row>
    <row r="318">
      <c r="A318" s="117" t="s">
        <v>498</v>
      </c>
    </row>
    <row r="319">
      <c r="A319" s="117" t="s">
        <v>499</v>
      </c>
    </row>
    <row r="320">
      <c r="A320" s="117" t="s">
        <v>500</v>
      </c>
    </row>
    <row r="321">
      <c r="A321" s="117" t="s">
        <v>599</v>
      </c>
    </row>
    <row r="322">
      <c r="A322" s="117" t="s">
        <v>600</v>
      </c>
    </row>
    <row r="323">
      <c r="A323" s="117" t="s">
        <v>499</v>
      </c>
    </row>
    <row r="324">
      <c r="A324" s="117" t="s">
        <v>559</v>
      </c>
    </row>
    <row r="325">
      <c r="A325" s="117" t="s">
        <v>503</v>
      </c>
    </row>
    <row r="326">
      <c r="A326" s="117" t="s">
        <v>499</v>
      </c>
    </row>
    <row r="327">
      <c r="A327" s="117" t="s">
        <v>483</v>
      </c>
    </row>
    <row r="328">
      <c r="A328" s="117" t="s">
        <v>601</v>
      </c>
    </row>
    <row r="329">
      <c r="A329" s="117" t="s">
        <v>602</v>
      </c>
    </row>
    <row r="330">
      <c r="A330" s="117" t="s">
        <v>603</v>
      </c>
    </row>
    <row r="331">
      <c r="A331" s="117" t="s">
        <v>604</v>
      </c>
    </row>
    <row r="332">
      <c r="A332" s="117" t="s">
        <v>605</v>
      </c>
    </row>
    <row r="333">
      <c r="A333" s="117" t="s">
        <v>606</v>
      </c>
    </row>
    <row r="334">
      <c r="A334" s="117" t="s">
        <v>607</v>
      </c>
    </row>
    <row r="335">
      <c r="A335" s="117" t="s">
        <v>492</v>
      </c>
    </row>
    <row r="336">
      <c r="A336" s="117" t="s">
        <v>493</v>
      </c>
    </row>
    <row r="337">
      <c r="A337" s="117" t="s">
        <v>494</v>
      </c>
    </row>
    <row r="338">
      <c r="A338" s="117" t="s">
        <v>495</v>
      </c>
    </row>
    <row r="339">
      <c r="A339" s="117" t="s">
        <v>496</v>
      </c>
    </row>
    <row r="340">
      <c r="A340" s="117" t="s">
        <v>497</v>
      </c>
    </row>
    <row r="341">
      <c r="A341" s="117" t="s">
        <v>498</v>
      </c>
    </row>
    <row r="342">
      <c r="A342" s="117" t="s">
        <v>499</v>
      </c>
    </row>
    <row r="343">
      <c r="A343" s="117" t="s">
        <v>500</v>
      </c>
    </row>
    <row r="344">
      <c r="A344" s="117" t="s">
        <v>494</v>
      </c>
    </row>
    <row r="345">
      <c r="A345" s="117" t="s">
        <v>501</v>
      </c>
    </row>
    <row r="346">
      <c r="A346" s="117" t="s">
        <v>499</v>
      </c>
    </row>
    <row r="347">
      <c r="A347" s="117" t="s">
        <v>567</v>
      </c>
    </row>
    <row r="348">
      <c r="A348" s="117" t="s">
        <v>503</v>
      </c>
    </row>
    <row r="349">
      <c r="A349" s="117" t="s">
        <v>499</v>
      </c>
    </row>
    <row r="350">
      <c r="A350" s="117" t="s">
        <v>483</v>
      </c>
    </row>
    <row r="351">
      <c r="A351" s="117" t="s">
        <v>608</v>
      </c>
    </row>
    <row r="352">
      <c r="A352" s="117" t="s">
        <v>609</v>
      </c>
    </row>
    <row r="353">
      <c r="A353" s="117" t="s">
        <v>610</v>
      </c>
    </row>
    <row r="354">
      <c r="A354" s="117" t="s">
        <v>611</v>
      </c>
    </row>
    <row r="355">
      <c r="A355" s="117" t="s">
        <v>612</v>
      </c>
    </row>
    <row r="356">
      <c r="A356" s="117" t="s">
        <v>613</v>
      </c>
    </row>
    <row r="357">
      <c r="A357" s="117" t="s">
        <v>540</v>
      </c>
    </row>
    <row r="358">
      <c r="A358" s="117" t="s">
        <v>492</v>
      </c>
    </row>
    <row r="359">
      <c r="A359" s="117" t="s">
        <v>493</v>
      </c>
    </row>
    <row r="360">
      <c r="A360" s="117" t="s">
        <v>531</v>
      </c>
    </row>
    <row r="361">
      <c r="A361" s="117" t="s">
        <v>575</v>
      </c>
    </row>
    <row r="362">
      <c r="A362" s="117" t="s">
        <v>576</v>
      </c>
    </row>
    <row r="363">
      <c r="A363" s="117" t="s">
        <v>577</v>
      </c>
    </row>
    <row r="364">
      <c r="A364" s="117" t="s">
        <v>498</v>
      </c>
    </row>
    <row r="365">
      <c r="A365" s="117" t="s">
        <v>499</v>
      </c>
    </row>
    <row r="366">
      <c r="A366" s="117" t="s">
        <v>500</v>
      </c>
    </row>
    <row r="367">
      <c r="A367" s="117" t="s">
        <v>614</v>
      </c>
    </row>
    <row r="368">
      <c r="A368" s="117" t="s">
        <v>615</v>
      </c>
    </row>
    <row r="369">
      <c r="A369" s="117" t="s">
        <v>499</v>
      </c>
    </row>
    <row r="370">
      <c r="A370" s="117" t="s">
        <v>513</v>
      </c>
    </row>
    <row r="371">
      <c r="A371" s="117" t="s">
        <v>503</v>
      </c>
    </row>
    <row r="372">
      <c r="A372" s="117" t="s">
        <v>499</v>
      </c>
    </row>
    <row r="373">
      <c r="A373" s="117" t="s">
        <v>483</v>
      </c>
    </row>
    <row r="374">
      <c r="A374" s="117" t="s">
        <v>616</v>
      </c>
    </row>
    <row r="375">
      <c r="A375" s="117" t="s">
        <v>617</v>
      </c>
    </row>
    <row r="376">
      <c r="A376" s="117" t="s">
        <v>618</v>
      </c>
    </row>
    <row r="377">
      <c r="A377" s="117" t="s">
        <v>619</v>
      </c>
    </row>
    <row r="378">
      <c r="A378" s="117" t="s">
        <v>620</v>
      </c>
    </row>
    <row r="379">
      <c r="A379" s="117" t="s">
        <v>621</v>
      </c>
    </row>
    <row r="380">
      <c r="A380" s="117" t="s">
        <v>622</v>
      </c>
    </row>
    <row r="381">
      <c r="A381" s="117" t="s">
        <v>492</v>
      </c>
    </row>
    <row r="382">
      <c r="A382" s="117" t="s">
        <v>493</v>
      </c>
    </row>
    <row r="383">
      <c r="A383" s="117" t="s">
        <v>557</v>
      </c>
    </row>
    <row r="384">
      <c r="A384" s="117" t="s">
        <v>623</v>
      </c>
    </row>
    <row r="385">
      <c r="A385" s="117" t="s">
        <v>624</v>
      </c>
    </row>
    <row r="386">
      <c r="A386" s="117" t="s">
        <v>625</v>
      </c>
    </row>
    <row r="387">
      <c r="A387" s="117" t="s">
        <v>498</v>
      </c>
    </row>
    <row r="388">
      <c r="A388" s="117" t="s">
        <v>499</v>
      </c>
    </row>
    <row r="389">
      <c r="A389" s="117" t="s">
        <v>500</v>
      </c>
    </row>
    <row r="390">
      <c r="A390" s="117" t="s">
        <v>626</v>
      </c>
    </row>
    <row r="391">
      <c r="A391" s="117" t="s">
        <v>627</v>
      </c>
    </row>
    <row r="392">
      <c r="A392" s="117" t="s">
        <v>499</v>
      </c>
    </row>
    <row r="393">
      <c r="A393" s="117" t="s">
        <v>567</v>
      </c>
    </row>
    <row r="394">
      <c r="A394" s="117" t="s">
        <v>503</v>
      </c>
    </row>
    <row r="395">
      <c r="A395" s="117" t="s">
        <v>499</v>
      </c>
    </row>
    <row r="396">
      <c r="A396" s="117" t="s">
        <v>483</v>
      </c>
    </row>
    <row r="397">
      <c r="A397" s="117" t="s">
        <v>628</v>
      </c>
    </row>
    <row r="398">
      <c r="A398" s="117" t="s">
        <v>629</v>
      </c>
    </row>
    <row r="399">
      <c r="A399" s="117" t="s">
        <v>630</v>
      </c>
    </row>
    <row r="400">
      <c r="A400" s="117" t="s">
        <v>631</v>
      </c>
    </row>
    <row r="401">
      <c r="A401" s="117" t="s">
        <v>632</v>
      </c>
    </row>
    <row r="402">
      <c r="A402" s="117" t="s">
        <v>633</v>
      </c>
    </row>
    <row r="403">
      <c r="A403" s="117" t="s">
        <v>510</v>
      </c>
    </row>
    <row r="404">
      <c r="A404" s="117" t="s">
        <v>492</v>
      </c>
    </row>
    <row r="405">
      <c r="A405" s="117" t="s">
        <v>493</v>
      </c>
    </row>
    <row r="406">
      <c r="A406" s="117" t="s">
        <v>557</v>
      </c>
    </row>
    <row r="407">
      <c r="A407" s="117" t="s">
        <v>623</v>
      </c>
    </row>
    <row r="408">
      <c r="A408" s="117" t="s">
        <v>624</v>
      </c>
    </row>
    <row r="409">
      <c r="A409" s="117" t="s">
        <v>625</v>
      </c>
    </row>
    <row r="410">
      <c r="A410" s="117" t="s">
        <v>498</v>
      </c>
    </row>
    <row r="411">
      <c r="A411" s="117" t="s">
        <v>499</v>
      </c>
    </row>
    <row r="412">
      <c r="A412" s="117" t="s">
        <v>500</v>
      </c>
    </row>
    <row r="413">
      <c r="A413" s="117" t="s">
        <v>626</v>
      </c>
    </row>
    <row r="414">
      <c r="A414" s="117" t="s">
        <v>627</v>
      </c>
    </row>
    <row r="415">
      <c r="A415" s="117" t="s">
        <v>499</v>
      </c>
    </row>
    <row r="416">
      <c r="A416" s="117" t="s">
        <v>559</v>
      </c>
    </row>
    <row r="417">
      <c r="A417" s="117" t="s">
        <v>503</v>
      </c>
    </row>
    <row r="418">
      <c r="A418" s="117" t="s">
        <v>499</v>
      </c>
    </row>
    <row r="419">
      <c r="A419" s="117" t="s">
        <v>483</v>
      </c>
    </row>
    <row r="420">
      <c r="A420" s="117" t="s">
        <v>634</v>
      </c>
    </row>
    <row r="421">
      <c r="A421" s="117" t="s">
        <v>635</v>
      </c>
    </row>
    <row r="422">
      <c r="A422" s="117" t="s">
        <v>636</v>
      </c>
    </row>
    <row r="423">
      <c r="A423" s="117" t="s">
        <v>637</v>
      </c>
    </row>
    <row r="424">
      <c r="A424" s="117" t="s">
        <v>638</v>
      </c>
    </row>
    <row r="425">
      <c r="A425" s="117" t="s">
        <v>639</v>
      </c>
    </row>
    <row r="426">
      <c r="A426" s="117" t="s">
        <v>591</v>
      </c>
    </row>
    <row r="427">
      <c r="A427" s="117" t="s">
        <v>492</v>
      </c>
    </row>
    <row r="428">
      <c r="A428" s="117" t="s">
        <v>493</v>
      </c>
    </row>
    <row r="429">
      <c r="A429" s="117" t="s">
        <v>557</v>
      </c>
    </row>
    <row r="430">
      <c r="A430" s="117" t="s">
        <v>623</v>
      </c>
    </row>
    <row r="431">
      <c r="A431" s="117" t="s">
        <v>624</v>
      </c>
    </row>
    <row r="432">
      <c r="A432" s="117" t="s">
        <v>625</v>
      </c>
    </row>
    <row r="433">
      <c r="A433" s="117" t="s">
        <v>498</v>
      </c>
    </row>
    <row r="434">
      <c r="A434" s="117" t="s">
        <v>499</v>
      </c>
    </row>
    <row r="435">
      <c r="A435" s="117" t="s">
        <v>500</v>
      </c>
    </row>
    <row r="436">
      <c r="A436" s="117" t="s">
        <v>626</v>
      </c>
    </row>
    <row r="437">
      <c r="A437" s="117" t="s">
        <v>627</v>
      </c>
    </row>
    <row r="438">
      <c r="A438" s="117" t="s">
        <v>499</v>
      </c>
    </row>
    <row r="439">
      <c r="A439" s="117" t="s">
        <v>513</v>
      </c>
    </row>
    <row r="440">
      <c r="A440" s="117" t="s">
        <v>503</v>
      </c>
    </row>
    <row r="441">
      <c r="A441" s="117" t="s">
        <v>499</v>
      </c>
    </row>
    <row r="442">
      <c r="A442" s="117" t="s">
        <v>483</v>
      </c>
    </row>
    <row r="443">
      <c r="A443" s="117" t="s">
        <v>640</v>
      </c>
    </row>
    <row r="444">
      <c r="A444" s="117" t="s">
        <v>641</v>
      </c>
    </row>
    <row r="445">
      <c r="A445" s="117" t="s">
        <v>642</v>
      </c>
    </row>
    <row r="446">
      <c r="A446" s="117" t="s">
        <v>643</v>
      </c>
    </row>
    <row r="447">
      <c r="A447" s="117" t="s">
        <v>644</v>
      </c>
    </row>
    <row r="448">
      <c r="A448" s="117" t="s">
        <v>645</v>
      </c>
    </row>
    <row r="449">
      <c r="A449" s="117" t="s">
        <v>646</v>
      </c>
    </row>
    <row r="450">
      <c r="A450" s="117" t="s">
        <v>492</v>
      </c>
    </row>
    <row r="451">
      <c r="A451" s="117" t="s">
        <v>493</v>
      </c>
    </row>
    <row r="452">
      <c r="A452" s="117" t="s">
        <v>647</v>
      </c>
    </row>
    <row r="453">
      <c r="A453" s="117" t="s">
        <v>648</v>
      </c>
    </row>
    <row r="454">
      <c r="A454" s="117" t="s">
        <v>649</v>
      </c>
    </row>
    <row r="455">
      <c r="A455" s="117" t="s">
        <v>650</v>
      </c>
    </row>
    <row r="456">
      <c r="A456" s="117" t="s">
        <v>498</v>
      </c>
    </row>
    <row r="457">
      <c r="A457" s="117" t="s">
        <v>499</v>
      </c>
    </row>
    <row r="458">
      <c r="A458" s="117" t="s">
        <v>500</v>
      </c>
    </row>
    <row r="459">
      <c r="A459" s="117" t="s">
        <v>647</v>
      </c>
    </row>
    <row r="460">
      <c r="A460" s="117" t="s">
        <v>651</v>
      </c>
    </row>
    <row r="461">
      <c r="A461" s="117" t="s">
        <v>499</v>
      </c>
    </row>
    <row r="462">
      <c r="A462" s="117" t="s">
        <v>567</v>
      </c>
    </row>
    <row r="463">
      <c r="A463" s="117" t="s">
        <v>503</v>
      </c>
    </row>
    <row r="464">
      <c r="A464" s="117" t="s">
        <v>499</v>
      </c>
    </row>
    <row r="465">
      <c r="A465" s="117" t="s">
        <v>483</v>
      </c>
    </row>
    <row r="466">
      <c r="A466" s="117" t="s">
        <v>652</v>
      </c>
    </row>
    <row r="467">
      <c r="A467" s="117" t="s">
        <v>653</v>
      </c>
    </row>
    <row r="468">
      <c r="A468" s="117" t="s">
        <v>654</v>
      </c>
    </row>
    <row r="469">
      <c r="A469" s="117" t="s">
        <v>655</v>
      </c>
    </row>
    <row r="470">
      <c r="A470" s="117" t="s">
        <v>656</v>
      </c>
    </row>
    <row r="471">
      <c r="A471" s="117" t="s">
        <v>657</v>
      </c>
    </row>
    <row r="472">
      <c r="A472" s="117" t="s">
        <v>658</v>
      </c>
    </row>
    <row r="473">
      <c r="A473" s="117" t="s">
        <v>492</v>
      </c>
    </row>
    <row r="474">
      <c r="A474" s="117" t="s">
        <v>493</v>
      </c>
    </row>
    <row r="475">
      <c r="A475" s="117" t="s">
        <v>647</v>
      </c>
    </row>
    <row r="476">
      <c r="A476" s="117" t="s">
        <v>648</v>
      </c>
    </row>
    <row r="477">
      <c r="A477" s="117" t="s">
        <v>649</v>
      </c>
    </row>
    <row r="478">
      <c r="A478" s="117" t="s">
        <v>650</v>
      </c>
    </row>
    <row r="479">
      <c r="A479" s="117" t="s">
        <v>498</v>
      </c>
    </row>
    <row r="480">
      <c r="A480" s="117" t="s">
        <v>499</v>
      </c>
    </row>
    <row r="481">
      <c r="A481" s="117" t="s">
        <v>500</v>
      </c>
    </row>
    <row r="482">
      <c r="A482" s="117" t="s">
        <v>647</v>
      </c>
    </row>
    <row r="483">
      <c r="A483" s="117" t="s">
        <v>651</v>
      </c>
    </row>
    <row r="484">
      <c r="A484" s="117" t="s">
        <v>499</v>
      </c>
    </row>
    <row r="485">
      <c r="A485" s="117" t="s">
        <v>659</v>
      </c>
    </row>
    <row r="486">
      <c r="A486" s="117" t="s">
        <v>503</v>
      </c>
    </row>
    <row r="487">
      <c r="A487" s="117" t="s">
        <v>499</v>
      </c>
    </row>
    <row r="488">
      <c r="A488" s="117" t="s">
        <v>483</v>
      </c>
    </row>
    <row r="489">
      <c r="A489" s="117" t="s">
        <v>660</v>
      </c>
    </row>
    <row r="490">
      <c r="A490" s="117" t="s">
        <v>661</v>
      </c>
    </row>
    <row r="491">
      <c r="A491" s="117" t="s">
        <v>662</v>
      </c>
    </row>
    <row r="492">
      <c r="A492" s="117" t="s">
        <v>663</v>
      </c>
    </row>
    <row r="493">
      <c r="A493" s="117" t="s">
        <v>664</v>
      </c>
    </row>
    <row r="494">
      <c r="A494" s="117" t="s">
        <v>665</v>
      </c>
    </row>
    <row r="495">
      <c r="A495" s="117" t="s">
        <v>666</v>
      </c>
    </row>
    <row r="496">
      <c r="A496" s="117" t="s">
        <v>492</v>
      </c>
    </row>
    <row r="497">
      <c r="A497" s="117" t="s">
        <v>493</v>
      </c>
    </row>
    <row r="498">
      <c r="A498" s="117" t="s">
        <v>667</v>
      </c>
    </row>
    <row r="499">
      <c r="A499" s="117" t="s">
        <v>668</v>
      </c>
    </row>
    <row r="500">
      <c r="A500" s="117" t="s">
        <v>669</v>
      </c>
    </row>
    <row r="501">
      <c r="A501" s="117" t="s">
        <v>670</v>
      </c>
    </row>
    <row r="502">
      <c r="A502" s="117" t="s">
        <v>498</v>
      </c>
    </row>
    <row r="503">
      <c r="A503" s="117" t="s">
        <v>499</v>
      </c>
    </row>
    <row r="504">
      <c r="A504" s="117" t="s">
        <v>500</v>
      </c>
    </row>
    <row r="505">
      <c r="A505" s="117" t="s">
        <v>531</v>
      </c>
    </row>
    <row r="506">
      <c r="A506" s="117" t="s">
        <v>532</v>
      </c>
    </row>
    <row r="507">
      <c r="A507" s="117" t="s">
        <v>499</v>
      </c>
    </row>
    <row r="508">
      <c r="A508" s="117" t="s">
        <v>559</v>
      </c>
    </row>
    <row r="509">
      <c r="A509" s="117" t="s">
        <v>503</v>
      </c>
    </row>
    <row r="510">
      <c r="A510" s="117" t="s">
        <v>499</v>
      </c>
    </row>
    <row r="511">
      <c r="A511" s="117" t="s">
        <v>483</v>
      </c>
    </row>
    <row r="512">
      <c r="A512" s="117" t="s">
        <v>671</v>
      </c>
    </row>
    <row r="513">
      <c r="A513" s="117" t="s">
        <v>672</v>
      </c>
    </row>
    <row r="514">
      <c r="A514" s="117" t="s">
        <v>673</v>
      </c>
    </row>
    <row r="515">
      <c r="A515" s="117" t="s">
        <v>674</v>
      </c>
    </row>
    <row r="516">
      <c r="A516" s="117" t="s">
        <v>675</v>
      </c>
    </row>
    <row r="517">
      <c r="A517" s="117" t="s">
        <v>676</v>
      </c>
    </row>
    <row r="518">
      <c r="A518" s="117" t="s">
        <v>677</v>
      </c>
    </row>
    <row r="519">
      <c r="A519" s="117" t="s">
        <v>492</v>
      </c>
    </row>
    <row r="520">
      <c r="A520" s="117" t="s">
        <v>493</v>
      </c>
    </row>
    <row r="521">
      <c r="A521" s="117" t="s">
        <v>667</v>
      </c>
    </row>
    <row r="522">
      <c r="A522" s="117" t="s">
        <v>668</v>
      </c>
    </row>
    <row r="523">
      <c r="A523" s="117" t="s">
        <v>669</v>
      </c>
    </row>
    <row r="524">
      <c r="A524" s="117" t="s">
        <v>670</v>
      </c>
    </row>
    <row r="525">
      <c r="A525" s="117" t="s">
        <v>498</v>
      </c>
    </row>
    <row r="526">
      <c r="A526" s="117" t="s">
        <v>499</v>
      </c>
    </row>
    <row r="527">
      <c r="A527" s="117" t="s">
        <v>500</v>
      </c>
    </row>
    <row r="528">
      <c r="A528" s="117" t="s">
        <v>531</v>
      </c>
    </row>
    <row r="529">
      <c r="A529" s="117" t="s">
        <v>532</v>
      </c>
    </row>
    <row r="530">
      <c r="A530" s="117" t="s">
        <v>499</v>
      </c>
    </row>
    <row r="531">
      <c r="A531" s="117" t="s">
        <v>533</v>
      </c>
    </row>
    <row r="532">
      <c r="A532" s="117" t="s">
        <v>503</v>
      </c>
    </row>
    <row r="533">
      <c r="A533" s="117" t="s">
        <v>499</v>
      </c>
    </row>
    <row r="534">
      <c r="A534" s="117" t="s">
        <v>483</v>
      </c>
    </row>
    <row r="535">
      <c r="A535" s="117" t="s">
        <v>678</v>
      </c>
    </row>
    <row r="536">
      <c r="A536" s="117" t="s">
        <v>679</v>
      </c>
    </row>
    <row r="537">
      <c r="A537" s="117" t="s">
        <v>680</v>
      </c>
    </row>
    <row r="538">
      <c r="A538" s="117" t="s">
        <v>681</v>
      </c>
    </row>
    <row r="539">
      <c r="A539" s="117" t="s">
        <v>682</v>
      </c>
    </row>
    <row r="540">
      <c r="A540" s="117" t="s">
        <v>683</v>
      </c>
    </row>
    <row r="541">
      <c r="A541" s="117" t="s">
        <v>684</v>
      </c>
    </row>
    <row r="542">
      <c r="A542" s="117" t="s">
        <v>492</v>
      </c>
    </row>
    <row r="543">
      <c r="A543" s="117" t="s">
        <v>493</v>
      </c>
    </row>
    <row r="544">
      <c r="A544" s="117" t="s">
        <v>685</v>
      </c>
    </row>
    <row r="545">
      <c r="A545" s="117" t="s">
        <v>686</v>
      </c>
    </row>
    <row r="546">
      <c r="A546" s="117" t="s">
        <v>687</v>
      </c>
    </row>
    <row r="547">
      <c r="A547" s="117" t="s">
        <v>688</v>
      </c>
    </row>
    <row r="548">
      <c r="A548" s="117" t="s">
        <v>498</v>
      </c>
    </row>
    <row r="549">
      <c r="A549" s="117" t="s">
        <v>499</v>
      </c>
    </row>
    <row r="550">
      <c r="A550" s="117" t="s">
        <v>500</v>
      </c>
    </row>
    <row r="551">
      <c r="A551" s="117" t="s">
        <v>647</v>
      </c>
    </row>
    <row r="552">
      <c r="A552" s="117" t="s">
        <v>651</v>
      </c>
    </row>
    <row r="553">
      <c r="A553" s="117" t="s">
        <v>499</v>
      </c>
    </row>
    <row r="554">
      <c r="A554" s="117" t="s">
        <v>533</v>
      </c>
    </row>
    <row r="555">
      <c r="A555" s="117" t="s">
        <v>503</v>
      </c>
    </row>
    <row r="556">
      <c r="A556" s="117" t="s">
        <v>499</v>
      </c>
    </row>
    <row r="557">
      <c r="A557" s="117" t="s">
        <v>483</v>
      </c>
    </row>
    <row r="558">
      <c r="A558" s="117" t="s">
        <v>689</v>
      </c>
    </row>
    <row r="559">
      <c r="A559" s="117" t="s">
        <v>690</v>
      </c>
    </row>
    <row r="560">
      <c r="A560" s="117" t="s">
        <v>691</v>
      </c>
    </row>
    <row r="561">
      <c r="A561" s="117" t="s">
        <v>692</v>
      </c>
    </row>
    <row r="562">
      <c r="A562" s="117" t="s">
        <v>693</v>
      </c>
    </row>
    <row r="563">
      <c r="A563" s="117" t="s">
        <v>694</v>
      </c>
    </row>
    <row r="564">
      <c r="A564" s="117" t="s">
        <v>695</v>
      </c>
    </row>
    <row r="565">
      <c r="A565" s="117" t="s">
        <v>492</v>
      </c>
    </row>
    <row r="566">
      <c r="A566" s="117" t="s">
        <v>493</v>
      </c>
    </row>
    <row r="567">
      <c r="A567" s="117" t="s">
        <v>685</v>
      </c>
    </row>
    <row r="568">
      <c r="A568" s="117" t="s">
        <v>686</v>
      </c>
    </row>
    <row r="569">
      <c r="A569" s="117" t="s">
        <v>687</v>
      </c>
    </row>
    <row r="570">
      <c r="A570" s="117" t="s">
        <v>688</v>
      </c>
    </row>
    <row r="571">
      <c r="A571" s="117" t="s">
        <v>498</v>
      </c>
    </row>
    <row r="572">
      <c r="A572" s="117" t="s">
        <v>499</v>
      </c>
    </row>
    <row r="573">
      <c r="A573" s="117" t="s">
        <v>500</v>
      </c>
    </row>
    <row r="574">
      <c r="A574" s="117" t="s">
        <v>647</v>
      </c>
    </row>
    <row r="575">
      <c r="A575" s="117" t="s">
        <v>651</v>
      </c>
    </row>
    <row r="576">
      <c r="A576" s="117" t="s">
        <v>499</v>
      </c>
    </row>
    <row r="577">
      <c r="A577" s="117" t="s">
        <v>513</v>
      </c>
    </row>
    <row r="578">
      <c r="A578" s="117" t="s">
        <v>503</v>
      </c>
    </row>
    <row r="579">
      <c r="A579" s="117" t="s">
        <v>499</v>
      </c>
    </row>
    <row r="580">
      <c r="A580" s="117" t="s">
        <v>483</v>
      </c>
    </row>
    <row r="581">
      <c r="A581" s="117" t="s">
        <v>696</v>
      </c>
    </row>
    <row r="582">
      <c r="A582" s="117" t="s">
        <v>697</v>
      </c>
    </row>
    <row r="583">
      <c r="A583" s="117" t="s">
        <v>698</v>
      </c>
    </row>
    <row r="584">
      <c r="A584" s="117" t="s">
        <v>699</v>
      </c>
    </row>
    <row r="585">
      <c r="A585" s="117" t="s">
        <v>700</v>
      </c>
    </row>
    <row r="586">
      <c r="A586" s="117" t="s">
        <v>701</v>
      </c>
    </row>
    <row r="587">
      <c r="A587" s="117" t="s">
        <v>702</v>
      </c>
    </row>
    <row r="588">
      <c r="A588" s="117" t="s">
        <v>492</v>
      </c>
    </row>
    <row r="589">
      <c r="A589" s="117" t="s">
        <v>493</v>
      </c>
    </row>
    <row r="590">
      <c r="A590" s="117" t="s">
        <v>599</v>
      </c>
    </row>
    <row r="591">
      <c r="A591" s="117" t="s">
        <v>703</v>
      </c>
    </row>
    <row r="592">
      <c r="A592" s="117" t="s">
        <v>704</v>
      </c>
    </row>
    <row r="593">
      <c r="A593" s="117" t="s">
        <v>705</v>
      </c>
    </row>
    <row r="594">
      <c r="A594" s="117" t="s">
        <v>498</v>
      </c>
    </row>
    <row r="595">
      <c r="A595" s="117" t="s">
        <v>499</v>
      </c>
    </row>
    <row r="596">
      <c r="A596" s="117" t="s">
        <v>500</v>
      </c>
    </row>
    <row r="597">
      <c r="A597" s="117" t="s">
        <v>647</v>
      </c>
    </row>
    <row r="598">
      <c r="A598" s="117" t="s">
        <v>651</v>
      </c>
    </row>
    <row r="599">
      <c r="A599" s="117" t="s">
        <v>499</v>
      </c>
    </row>
    <row r="600">
      <c r="A600" s="117" t="s">
        <v>541</v>
      </c>
    </row>
    <row r="601">
      <c r="A601" s="117" t="s">
        <v>503</v>
      </c>
    </row>
    <row r="602">
      <c r="A602" s="117" t="s">
        <v>499</v>
      </c>
    </row>
    <row r="603">
      <c r="A603" s="117" t="s">
        <v>483</v>
      </c>
    </row>
    <row r="604">
      <c r="A604" s="117" t="s">
        <v>706</v>
      </c>
    </row>
    <row r="605">
      <c r="A605" s="117" t="s">
        <v>707</v>
      </c>
    </row>
    <row r="606">
      <c r="A606" s="117" t="s">
        <v>708</v>
      </c>
    </row>
    <row r="607">
      <c r="A607" s="117" t="s">
        <v>709</v>
      </c>
    </row>
    <row r="608">
      <c r="A608" s="117" t="s">
        <v>710</v>
      </c>
    </row>
    <row r="609">
      <c r="A609" s="117" t="s">
        <v>711</v>
      </c>
    </row>
    <row r="610">
      <c r="A610" s="117" t="s">
        <v>712</v>
      </c>
    </row>
    <row r="611">
      <c r="A611" s="117" t="s">
        <v>492</v>
      </c>
    </row>
    <row r="612">
      <c r="A612" s="117" t="s">
        <v>493</v>
      </c>
    </row>
    <row r="613">
      <c r="A613" s="117" t="s">
        <v>599</v>
      </c>
    </row>
    <row r="614">
      <c r="A614" s="117" t="s">
        <v>703</v>
      </c>
    </row>
    <row r="615">
      <c r="A615" s="117" t="s">
        <v>704</v>
      </c>
    </row>
    <row r="616">
      <c r="A616" s="117" t="s">
        <v>705</v>
      </c>
    </row>
    <row r="617">
      <c r="A617" s="117" t="s">
        <v>498</v>
      </c>
    </row>
    <row r="618">
      <c r="A618" s="117" t="s">
        <v>499</v>
      </c>
    </row>
    <row r="619">
      <c r="A619" s="117" t="s">
        <v>500</v>
      </c>
    </row>
    <row r="620">
      <c r="A620" s="117" t="s">
        <v>647</v>
      </c>
    </row>
    <row r="621">
      <c r="A621" s="117" t="s">
        <v>651</v>
      </c>
    </row>
    <row r="622">
      <c r="A622" s="117" t="s">
        <v>499</v>
      </c>
    </row>
    <row r="623">
      <c r="A623" s="117" t="s">
        <v>559</v>
      </c>
    </row>
    <row r="624">
      <c r="A624" s="117" t="s">
        <v>503</v>
      </c>
    </row>
    <row r="625">
      <c r="A625" s="117" t="s">
        <v>499</v>
      </c>
    </row>
    <row r="626">
      <c r="A626" s="117" t="s">
        <v>483</v>
      </c>
    </row>
    <row r="627">
      <c r="A627" s="117" t="s">
        <v>713</v>
      </c>
    </row>
    <row r="628">
      <c r="A628" s="117" t="s">
        <v>714</v>
      </c>
    </row>
    <row r="629">
      <c r="A629" s="117" t="s">
        <v>715</v>
      </c>
    </row>
    <row r="630">
      <c r="A630" s="117" t="s">
        <v>716</v>
      </c>
    </row>
    <row r="631">
      <c r="A631" s="117" t="s">
        <v>717</v>
      </c>
    </row>
    <row r="632">
      <c r="A632" s="117" t="s">
        <v>718</v>
      </c>
    </row>
    <row r="633">
      <c r="A633" s="117" t="s">
        <v>719</v>
      </c>
    </row>
    <row r="634">
      <c r="A634" s="117" t="s">
        <v>492</v>
      </c>
    </row>
    <row r="635">
      <c r="A635" s="117" t="s">
        <v>493</v>
      </c>
    </row>
    <row r="636">
      <c r="A636" s="117" t="s">
        <v>511</v>
      </c>
    </row>
    <row r="637">
      <c r="A637" s="117" t="s">
        <v>528</v>
      </c>
    </row>
    <row r="638">
      <c r="A638" s="117" t="s">
        <v>529</v>
      </c>
    </row>
    <row r="639">
      <c r="A639" s="117" t="s">
        <v>530</v>
      </c>
    </row>
    <row r="640">
      <c r="A640" s="117" t="s">
        <v>498</v>
      </c>
    </row>
    <row r="641">
      <c r="A641" s="117" t="s">
        <v>499</v>
      </c>
    </row>
    <row r="642">
      <c r="A642" s="117" t="s">
        <v>500</v>
      </c>
    </row>
    <row r="643">
      <c r="A643" s="117" t="s">
        <v>685</v>
      </c>
    </row>
    <row r="644">
      <c r="A644" s="117" t="s">
        <v>720</v>
      </c>
    </row>
    <row r="645">
      <c r="A645" s="117" t="s">
        <v>499</v>
      </c>
    </row>
    <row r="646">
      <c r="A646" s="117" t="s">
        <v>502</v>
      </c>
    </row>
    <row r="647">
      <c r="A647" s="117" t="s">
        <v>503</v>
      </c>
    </row>
    <row r="648">
      <c r="A648" s="117" t="s">
        <v>499</v>
      </c>
    </row>
    <row r="649">
      <c r="A649" s="117" t="s">
        <v>483</v>
      </c>
    </row>
    <row r="650">
      <c r="A650" s="117" t="s">
        <v>721</v>
      </c>
    </row>
    <row r="651">
      <c r="A651" s="117" t="s">
        <v>722</v>
      </c>
    </row>
    <row r="652">
      <c r="A652" s="117" t="s">
        <v>723</v>
      </c>
    </row>
    <row r="653">
      <c r="A653" s="117" t="s">
        <v>724</v>
      </c>
    </row>
    <row r="654">
      <c r="A654" s="117" t="s">
        <v>725</v>
      </c>
    </row>
    <row r="655">
      <c r="A655" s="117" t="s">
        <v>726</v>
      </c>
    </row>
    <row r="656">
      <c r="A656" s="117" t="s">
        <v>695</v>
      </c>
    </row>
    <row r="657">
      <c r="A657" s="117" t="s">
        <v>492</v>
      </c>
    </row>
    <row r="658">
      <c r="A658" s="117" t="s">
        <v>493</v>
      </c>
    </row>
    <row r="659">
      <c r="A659" s="117" t="s">
        <v>511</v>
      </c>
    </row>
    <row r="660">
      <c r="A660" s="117" t="s">
        <v>528</v>
      </c>
    </row>
    <row r="661">
      <c r="A661" s="117" t="s">
        <v>529</v>
      </c>
    </row>
    <row r="662">
      <c r="A662" s="117" t="s">
        <v>530</v>
      </c>
    </row>
    <row r="663">
      <c r="A663" s="117" t="s">
        <v>498</v>
      </c>
    </row>
    <row r="664">
      <c r="A664" s="117" t="s">
        <v>499</v>
      </c>
    </row>
    <row r="665">
      <c r="A665" s="117" t="s">
        <v>500</v>
      </c>
    </row>
    <row r="666">
      <c r="A666" s="117" t="s">
        <v>667</v>
      </c>
    </row>
    <row r="667">
      <c r="A667" s="117" t="s">
        <v>727</v>
      </c>
    </row>
    <row r="668">
      <c r="A668" s="117" t="s">
        <v>499</v>
      </c>
    </row>
    <row r="669">
      <c r="A669" s="117" t="s">
        <v>559</v>
      </c>
    </row>
    <row r="670">
      <c r="A670" s="117" t="s">
        <v>503</v>
      </c>
    </row>
    <row r="671">
      <c r="A671" s="117" t="s">
        <v>499</v>
      </c>
    </row>
    <row r="672">
      <c r="A672" s="117" t="s">
        <v>483</v>
      </c>
    </row>
    <row r="673">
      <c r="A673" s="117" t="s">
        <v>728</v>
      </c>
    </row>
    <row r="674">
      <c r="A674" s="117" t="s">
        <v>729</v>
      </c>
    </row>
    <row r="675">
      <c r="A675" s="117" t="s">
        <v>730</v>
      </c>
    </row>
    <row r="676">
      <c r="A676" s="117" t="s">
        <v>731</v>
      </c>
    </row>
    <row r="677">
      <c r="A677" s="117" t="s">
        <v>732</v>
      </c>
    </row>
    <row r="678">
      <c r="A678" s="117" t="s">
        <v>733</v>
      </c>
    </row>
    <row r="679">
      <c r="A679" s="117" t="s">
        <v>734</v>
      </c>
    </row>
    <row r="680">
      <c r="A680" s="117" t="s">
        <v>492</v>
      </c>
    </row>
    <row r="681">
      <c r="A681" s="117" t="s">
        <v>493</v>
      </c>
    </row>
    <row r="682">
      <c r="A682" s="117" t="s">
        <v>531</v>
      </c>
    </row>
    <row r="683">
      <c r="A683" s="117" t="s">
        <v>575</v>
      </c>
    </row>
    <row r="684">
      <c r="A684" s="117" t="s">
        <v>576</v>
      </c>
    </row>
    <row r="685">
      <c r="A685" s="117" t="s">
        <v>577</v>
      </c>
    </row>
    <row r="686">
      <c r="A686" s="117" t="s">
        <v>498</v>
      </c>
    </row>
    <row r="687">
      <c r="A687" s="117" t="s">
        <v>499</v>
      </c>
    </row>
    <row r="688">
      <c r="A688" s="117" t="s">
        <v>500</v>
      </c>
    </row>
    <row r="689">
      <c r="A689" s="117" t="s">
        <v>599</v>
      </c>
    </row>
    <row r="690">
      <c r="A690" s="117" t="s">
        <v>600</v>
      </c>
    </row>
    <row r="691">
      <c r="A691" s="117" t="s">
        <v>499</v>
      </c>
    </row>
    <row r="692">
      <c r="A692" s="117" t="s">
        <v>567</v>
      </c>
    </row>
    <row r="693">
      <c r="A693" s="117" t="s">
        <v>503</v>
      </c>
    </row>
    <row r="694">
      <c r="A694" s="117" t="s">
        <v>499</v>
      </c>
    </row>
    <row r="695">
      <c r="A695" s="117" t="s">
        <v>483</v>
      </c>
    </row>
    <row r="696">
      <c r="A696" s="117" t="s">
        <v>735</v>
      </c>
    </row>
    <row r="697">
      <c r="A697" s="117" t="s">
        <v>736</v>
      </c>
    </row>
    <row r="698">
      <c r="A698" s="117" t="s">
        <v>737</v>
      </c>
    </row>
    <row r="699">
      <c r="A699" s="117" t="s">
        <v>738</v>
      </c>
    </row>
    <row r="700">
      <c r="A700" s="117" t="s">
        <v>739</v>
      </c>
    </row>
    <row r="701">
      <c r="A701" s="117" t="s">
        <v>740</v>
      </c>
    </row>
    <row r="702">
      <c r="A702" s="117" t="s">
        <v>741</v>
      </c>
    </row>
    <row r="703">
      <c r="A703" s="117" t="s">
        <v>492</v>
      </c>
    </row>
    <row r="704">
      <c r="A704" s="117" t="s">
        <v>493</v>
      </c>
    </row>
    <row r="705">
      <c r="A705" s="117" t="s">
        <v>531</v>
      </c>
    </row>
    <row r="706">
      <c r="A706" s="117" t="s">
        <v>575</v>
      </c>
    </row>
    <row r="707">
      <c r="A707" s="117" t="s">
        <v>576</v>
      </c>
    </row>
    <row r="708">
      <c r="A708" s="117" t="s">
        <v>577</v>
      </c>
    </row>
    <row r="709">
      <c r="A709" s="117" t="s">
        <v>498</v>
      </c>
    </row>
    <row r="710">
      <c r="A710" s="117" t="s">
        <v>499</v>
      </c>
    </row>
    <row r="711">
      <c r="A711" s="117" t="s">
        <v>500</v>
      </c>
    </row>
    <row r="712">
      <c r="A712" s="117" t="s">
        <v>647</v>
      </c>
    </row>
    <row r="713">
      <c r="A713" s="117" t="s">
        <v>651</v>
      </c>
    </row>
    <row r="714">
      <c r="A714" s="117" t="s">
        <v>499</v>
      </c>
    </row>
    <row r="715">
      <c r="A715" s="117" t="s">
        <v>513</v>
      </c>
    </row>
    <row r="716">
      <c r="A716" s="117" t="s">
        <v>503</v>
      </c>
    </row>
    <row r="717">
      <c r="A717" s="117" t="s">
        <v>499</v>
      </c>
    </row>
    <row r="718">
      <c r="A718" s="117" t="s">
        <v>483</v>
      </c>
    </row>
    <row r="719">
      <c r="A719" s="117" t="s">
        <v>742</v>
      </c>
    </row>
    <row r="720">
      <c r="A720" s="117" t="s">
        <v>743</v>
      </c>
    </row>
    <row r="721">
      <c r="A721" s="117" t="s">
        <v>744</v>
      </c>
    </row>
    <row r="722">
      <c r="A722" s="117" t="s">
        <v>745</v>
      </c>
    </row>
    <row r="723">
      <c r="A723" s="117" t="s">
        <v>746</v>
      </c>
    </row>
    <row r="724">
      <c r="A724" s="117" t="s">
        <v>747</v>
      </c>
    </row>
    <row r="725">
      <c r="A725" s="117" t="s">
        <v>646</v>
      </c>
    </row>
    <row r="726">
      <c r="A726" s="117" t="s">
        <v>492</v>
      </c>
    </row>
    <row r="727">
      <c r="A727" s="117" t="s">
        <v>493</v>
      </c>
    </row>
    <row r="728">
      <c r="A728" s="117" t="s">
        <v>494</v>
      </c>
    </row>
    <row r="729">
      <c r="A729" s="117" t="s">
        <v>495</v>
      </c>
    </row>
    <row r="730">
      <c r="A730" s="117" t="s">
        <v>496</v>
      </c>
    </row>
    <row r="731">
      <c r="A731" s="117" t="s">
        <v>497</v>
      </c>
    </row>
    <row r="732">
      <c r="A732" s="117" t="s">
        <v>498</v>
      </c>
    </row>
    <row r="733">
      <c r="A733" s="117" t="s">
        <v>499</v>
      </c>
    </row>
    <row r="734">
      <c r="A734" s="117" t="s">
        <v>500</v>
      </c>
    </row>
    <row r="735">
      <c r="A735" s="117" t="s">
        <v>494</v>
      </c>
    </row>
    <row r="736">
      <c r="A736" s="117" t="s">
        <v>501</v>
      </c>
    </row>
    <row r="737">
      <c r="A737" s="117" t="s">
        <v>499</v>
      </c>
    </row>
    <row r="738">
      <c r="A738" s="117" t="s">
        <v>559</v>
      </c>
    </row>
    <row r="739">
      <c r="A739" s="117" t="s">
        <v>503</v>
      </c>
    </row>
    <row r="740">
      <c r="A740" s="117" t="s">
        <v>499</v>
      </c>
    </row>
    <row r="741">
      <c r="A741" s="117" t="s">
        <v>483</v>
      </c>
    </row>
    <row r="742">
      <c r="A742" s="117" t="s">
        <v>748</v>
      </c>
    </row>
    <row r="743">
      <c r="A743" s="117" t="s">
        <v>749</v>
      </c>
    </row>
    <row r="744">
      <c r="A744" s="117" t="s">
        <v>750</v>
      </c>
    </row>
    <row r="745">
      <c r="A745" s="117" t="s">
        <v>751</v>
      </c>
    </row>
    <row r="746">
      <c r="A746" s="117" t="s">
        <v>752</v>
      </c>
    </row>
    <row r="747">
      <c r="A747" s="117" t="s">
        <v>753</v>
      </c>
    </row>
    <row r="748">
      <c r="A748" s="117" t="s">
        <v>754</v>
      </c>
    </row>
    <row r="749">
      <c r="A749" s="117" t="s">
        <v>755</v>
      </c>
    </row>
    <row r="750">
      <c r="A750" s="117" t="s">
        <v>493</v>
      </c>
    </row>
    <row r="751">
      <c r="A751" s="117" t="s">
        <v>557</v>
      </c>
    </row>
    <row r="752">
      <c r="A752" s="117" t="s">
        <v>623</v>
      </c>
    </row>
    <row r="753">
      <c r="A753" s="117" t="s">
        <v>624</v>
      </c>
    </row>
    <row r="754">
      <c r="A754" s="117" t="s">
        <v>625</v>
      </c>
    </row>
    <row r="755">
      <c r="A755" s="117" t="s">
        <v>498</v>
      </c>
    </row>
    <row r="756">
      <c r="A756" s="117" t="s">
        <v>499</v>
      </c>
    </row>
    <row r="757">
      <c r="A757" s="117" t="s">
        <v>500</v>
      </c>
    </row>
    <row r="758">
      <c r="A758" s="117" t="s">
        <v>494</v>
      </c>
    </row>
    <row r="759">
      <c r="A759" s="117" t="s">
        <v>501</v>
      </c>
    </row>
    <row r="760">
      <c r="A760" s="117" t="s">
        <v>499</v>
      </c>
    </row>
    <row r="761">
      <c r="A761" s="117" t="s">
        <v>756</v>
      </c>
    </row>
    <row r="762">
      <c r="A762" s="117" t="s">
        <v>503</v>
      </c>
    </row>
    <row r="763">
      <c r="A763" s="117" t="s">
        <v>757</v>
      </c>
    </row>
    <row r="764">
      <c r="A764" s="117" t="s">
        <v>758</v>
      </c>
    </row>
    <row r="765">
      <c r="A765" s="117" t="s">
        <v>759</v>
      </c>
    </row>
    <row r="766">
      <c r="A766" s="117" t="s">
        <v>760</v>
      </c>
    </row>
    <row r="767">
      <c r="A767" s="117" t="s">
        <v>761</v>
      </c>
    </row>
    <row r="768">
      <c r="A768" s="117" t="s">
        <v>762</v>
      </c>
    </row>
    <row r="769">
      <c r="A769" s="117" t="s">
        <v>763</v>
      </c>
    </row>
    <row r="770">
      <c r="A770" s="117" t="s">
        <v>757</v>
      </c>
    </row>
    <row r="771">
      <c r="A771" s="117" t="s">
        <v>757</v>
      </c>
    </row>
    <row r="1052">
      <c r="C1052" s="117" t="s">
        <v>439</v>
      </c>
    </row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A4" s="117" t="s">
        <v>485</v>
      </c>
    </row>
    <row r="6">
      <c r="A6" s="117" t="s">
        <v>487</v>
      </c>
    </row>
    <row r="11">
      <c r="A11" s="117" t="s">
        <v>492</v>
      </c>
    </row>
    <row r="13">
      <c r="A13" s="117" t="s">
        <v>494</v>
      </c>
    </row>
    <row r="15">
      <c r="A15" s="117" t="s">
        <v>496</v>
      </c>
    </row>
    <row r="20">
      <c r="A20" s="117" t="s">
        <v>494</v>
      </c>
    </row>
    <row r="27">
      <c r="A27" s="117" t="s">
        <v>504</v>
      </c>
    </row>
    <row r="34">
      <c r="A34" s="117" t="s">
        <v>492</v>
      </c>
    </row>
    <row r="36">
      <c r="A36" s="117" t="s">
        <v>494</v>
      </c>
    </row>
    <row r="38">
      <c r="A38" s="117" t="s">
        <v>496</v>
      </c>
    </row>
    <row r="43">
      <c r="A43" s="117" t="s">
        <v>511</v>
      </c>
    </row>
    <row r="50">
      <c r="A50" s="117" t="s">
        <v>514</v>
      </c>
    </row>
    <row r="57">
      <c r="A57" s="117" t="s">
        <v>492</v>
      </c>
    </row>
    <row r="59">
      <c r="A59" s="117" t="s">
        <v>494</v>
      </c>
    </row>
    <row r="61">
      <c r="A61" s="117" t="s">
        <v>496</v>
      </c>
    </row>
    <row r="66">
      <c r="A66" s="117" t="s">
        <v>511</v>
      </c>
    </row>
    <row r="73">
      <c r="A73" s="117" t="s">
        <v>521</v>
      </c>
    </row>
    <row r="75">
      <c r="A75" s="117" t="s">
        <v>523</v>
      </c>
    </row>
    <row r="80">
      <c r="A80" s="117" t="s">
        <v>492</v>
      </c>
    </row>
    <row r="82">
      <c r="A82" s="117" t="s">
        <v>511</v>
      </c>
    </row>
    <row r="84">
      <c r="A84" s="117" t="s">
        <v>529</v>
      </c>
    </row>
    <row r="89">
      <c r="A89" s="117" t="s">
        <v>531</v>
      </c>
    </row>
    <row r="96">
      <c r="A96" s="117" t="s">
        <v>534</v>
      </c>
    </row>
    <row r="103">
      <c r="A103" s="117" t="s">
        <v>492</v>
      </c>
    </row>
    <row r="105">
      <c r="A105" s="117" t="s">
        <v>511</v>
      </c>
    </row>
    <row r="107">
      <c r="A107" s="117" t="s">
        <v>529</v>
      </c>
    </row>
    <row r="112">
      <c r="A112" s="117" t="s">
        <v>531</v>
      </c>
    </row>
    <row r="119">
      <c r="A119" s="117" t="s">
        <v>542</v>
      </c>
    </row>
    <row r="126">
      <c r="A126" s="117" t="s">
        <v>492</v>
      </c>
    </row>
    <row r="128">
      <c r="A128" s="117" t="s">
        <v>511</v>
      </c>
    </row>
    <row r="130">
      <c r="A130" s="117" t="s">
        <v>529</v>
      </c>
    </row>
    <row r="135">
      <c r="A135" s="117" t="s">
        <v>531</v>
      </c>
    </row>
    <row r="142">
      <c r="A142" s="117" t="s">
        <v>550</v>
      </c>
    </row>
    <row r="149">
      <c r="A149" s="117" t="s">
        <v>492</v>
      </c>
    </row>
    <row r="151">
      <c r="A151" s="117" t="s">
        <v>511</v>
      </c>
    </row>
    <row r="153">
      <c r="A153" s="117" t="s">
        <v>529</v>
      </c>
    </row>
    <row r="158">
      <c r="A158" s="117" t="s">
        <v>557</v>
      </c>
    </row>
    <row r="165">
      <c r="A165" s="117" t="s">
        <v>560</v>
      </c>
    </row>
    <row r="172">
      <c r="A172" s="117" t="s">
        <v>492</v>
      </c>
    </row>
    <row r="174">
      <c r="A174" s="117" t="s">
        <v>511</v>
      </c>
    </row>
    <row r="176">
      <c r="A176" s="117" t="s">
        <v>529</v>
      </c>
    </row>
    <row r="181">
      <c r="A181" s="117" t="s">
        <v>557</v>
      </c>
    </row>
    <row r="188">
      <c r="A188" s="117" t="s">
        <v>568</v>
      </c>
    </row>
    <row r="190">
      <c r="A190" s="117" t="s">
        <v>570</v>
      </c>
    </row>
    <row r="195">
      <c r="A195" s="117" t="s">
        <v>492</v>
      </c>
    </row>
    <row r="197">
      <c r="A197" s="117" t="s">
        <v>531</v>
      </c>
    </row>
    <row r="199">
      <c r="A199" s="117" t="s">
        <v>576</v>
      </c>
    </row>
    <row r="204">
      <c r="A204" s="117" t="s">
        <v>494</v>
      </c>
    </row>
    <row r="211">
      <c r="A211" s="117" t="s">
        <v>578</v>
      </c>
    </row>
    <row r="218">
      <c r="A218" s="117" t="s">
        <v>492</v>
      </c>
    </row>
    <row r="220">
      <c r="A220" s="117" t="s">
        <v>531</v>
      </c>
    </row>
    <row r="222">
      <c r="A222" s="117" t="s">
        <v>576</v>
      </c>
    </row>
    <row r="227">
      <c r="A227" s="117" t="s">
        <v>494</v>
      </c>
    </row>
    <row r="234">
      <c r="A234" s="117" t="s">
        <v>585</v>
      </c>
    </row>
    <row r="236">
      <c r="A236" s="117" t="s">
        <v>587</v>
      </c>
    </row>
    <row r="241">
      <c r="A241" s="117" t="s">
        <v>492</v>
      </c>
    </row>
    <row r="243">
      <c r="A243" s="117" t="s">
        <v>531</v>
      </c>
    </row>
    <row r="245">
      <c r="A245" s="117" t="s">
        <v>576</v>
      </c>
    </row>
    <row r="250">
      <c r="A250" s="117" t="s">
        <v>531</v>
      </c>
    </row>
    <row r="257">
      <c r="A257" s="117" t="s">
        <v>592</v>
      </c>
    </row>
    <row r="264">
      <c r="A264" s="117" t="s">
        <v>492</v>
      </c>
    </row>
    <row r="266">
      <c r="A266" s="117" t="s">
        <v>531</v>
      </c>
    </row>
    <row r="268">
      <c r="A268" s="117" t="s">
        <v>576</v>
      </c>
    </row>
    <row r="273">
      <c r="A273" s="117" t="s">
        <v>599</v>
      </c>
    </row>
    <row r="280">
      <c r="A280" s="117" t="s">
        <v>601</v>
      </c>
    </row>
    <row r="287">
      <c r="A287" s="117" t="s">
        <v>492</v>
      </c>
    </row>
    <row r="289">
      <c r="A289" s="117" t="s">
        <v>494</v>
      </c>
    </row>
    <row r="291">
      <c r="A291" s="117" t="s">
        <v>496</v>
      </c>
    </row>
    <row r="296">
      <c r="A296" s="117" t="s">
        <v>494</v>
      </c>
    </row>
    <row r="303">
      <c r="A303" s="117" t="s">
        <v>608</v>
      </c>
    </row>
    <row r="305">
      <c r="A305" s="117" t="s">
        <v>610</v>
      </c>
    </row>
    <row r="310">
      <c r="A310" s="117" t="s">
        <v>492</v>
      </c>
    </row>
    <row r="312">
      <c r="A312" s="117" t="s">
        <v>531</v>
      </c>
    </row>
    <row r="314">
      <c r="A314" s="117" t="s">
        <v>576</v>
      </c>
    </row>
    <row r="319">
      <c r="A319" s="117" t="s">
        <v>614</v>
      </c>
    </row>
    <row r="326">
      <c r="A326" s="117" t="s">
        <v>616</v>
      </c>
    </row>
    <row r="333">
      <c r="A333" s="117" t="s">
        <v>492</v>
      </c>
    </row>
    <row r="335">
      <c r="A335" s="117" t="s">
        <v>557</v>
      </c>
    </row>
    <row r="337">
      <c r="A337" s="117" t="s">
        <v>624</v>
      </c>
    </row>
    <row r="342">
      <c r="A342" s="117" t="s">
        <v>626</v>
      </c>
    </row>
    <row r="349">
      <c r="A349" s="117" t="s">
        <v>628</v>
      </c>
    </row>
    <row r="356">
      <c r="A356" s="117" t="s">
        <v>492</v>
      </c>
    </row>
    <row r="358">
      <c r="A358" s="117" t="s">
        <v>557</v>
      </c>
    </row>
    <row r="360">
      <c r="A360" s="117" t="s">
        <v>624</v>
      </c>
    </row>
    <row r="365">
      <c r="A365" s="117" t="s">
        <v>626</v>
      </c>
    </row>
    <row r="372">
      <c r="A372" s="117" t="s">
        <v>634</v>
      </c>
    </row>
    <row r="379">
      <c r="A379" s="117" t="s">
        <v>492</v>
      </c>
    </row>
    <row r="381">
      <c r="A381" s="117" t="s">
        <v>557</v>
      </c>
    </row>
    <row r="383">
      <c r="A383" s="117" t="s">
        <v>624</v>
      </c>
    </row>
    <row r="388">
      <c r="A388" s="117" t="s">
        <v>626</v>
      </c>
    </row>
    <row r="395">
      <c r="A395" s="117" t="s">
        <v>640</v>
      </c>
    </row>
    <row r="397">
      <c r="A397" s="117" t="s">
        <v>642</v>
      </c>
    </row>
    <row r="402">
      <c r="A402" s="117" t="s">
        <v>492</v>
      </c>
    </row>
    <row r="404">
      <c r="A404" s="117" t="s">
        <v>647</v>
      </c>
    </row>
    <row r="406">
      <c r="A406" s="117" t="s">
        <v>649</v>
      </c>
    </row>
    <row r="411">
      <c r="A411" s="117" t="s">
        <v>647</v>
      </c>
    </row>
    <row r="418">
      <c r="A418" s="117" t="s">
        <v>652</v>
      </c>
    </row>
    <row r="425">
      <c r="A425" s="117" t="s">
        <v>492</v>
      </c>
    </row>
    <row r="427">
      <c r="A427" s="117" t="s">
        <v>647</v>
      </c>
    </row>
    <row r="429">
      <c r="A429" s="117" t="s">
        <v>649</v>
      </c>
    </row>
    <row r="434">
      <c r="A434" s="117" t="s">
        <v>647</v>
      </c>
    </row>
    <row r="441">
      <c r="A441" s="117" t="s">
        <v>660</v>
      </c>
    </row>
    <row r="448">
      <c r="A448" s="117" t="s">
        <v>492</v>
      </c>
    </row>
    <row r="450">
      <c r="A450" s="117" t="s">
        <v>667</v>
      </c>
    </row>
    <row r="452">
      <c r="A452" s="117" t="s">
        <v>669</v>
      </c>
    </row>
    <row r="457">
      <c r="A457" s="117" t="s">
        <v>531</v>
      </c>
    </row>
    <row r="464">
      <c r="A464" s="117" t="s">
        <v>671</v>
      </c>
    </row>
    <row r="471">
      <c r="A471" s="117" t="s">
        <v>492</v>
      </c>
    </row>
    <row r="473">
      <c r="A473" s="117" t="s">
        <v>667</v>
      </c>
    </row>
    <row r="475">
      <c r="A475" s="117" t="s">
        <v>669</v>
      </c>
    </row>
    <row r="480">
      <c r="A480" s="117" t="s">
        <v>531</v>
      </c>
    </row>
    <row r="487">
      <c r="A487" s="117" t="s">
        <v>678</v>
      </c>
    </row>
    <row r="494">
      <c r="A494" s="117" t="s">
        <v>492</v>
      </c>
    </row>
    <row r="496">
      <c r="A496" s="117" t="s">
        <v>685</v>
      </c>
    </row>
    <row r="498">
      <c r="A498" s="117" t="s">
        <v>687</v>
      </c>
    </row>
    <row r="503">
      <c r="A503" s="117" t="s">
        <v>647</v>
      </c>
    </row>
    <row r="510">
      <c r="A510" s="117" t="s">
        <v>689</v>
      </c>
    </row>
    <row r="517">
      <c r="A517" s="117" t="s">
        <v>492</v>
      </c>
    </row>
    <row r="519">
      <c r="A519" s="117" t="s">
        <v>685</v>
      </c>
    </row>
    <row r="521">
      <c r="A521" s="117" t="s">
        <v>687</v>
      </c>
    </row>
    <row r="526">
      <c r="A526" s="117" t="s">
        <v>647</v>
      </c>
    </row>
    <row r="533">
      <c r="A533" s="117" t="s">
        <v>696</v>
      </c>
    </row>
    <row r="540">
      <c r="A540" s="117" t="s">
        <v>492</v>
      </c>
    </row>
    <row r="542">
      <c r="A542" s="117" t="s">
        <v>599</v>
      </c>
    </row>
    <row r="544">
      <c r="A544" s="117" t="s">
        <v>704</v>
      </c>
    </row>
    <row r="549">
      <c r="A549" s="117" t="s">
        <v>647</v>
      </c>
    </row>
    <row r="556">
      <c r="A556" s="117" t="s">
        <v>706</v>
      </c>
    </row>
    <row r="563">
      <c r="A563" s="117" t="s">
        <v>492</v>
      </c>
    </row>
    <row r="565">
      <c r="A565" s="117" t="s">
        <v>599</v>
      </c>
    </row>
    <row r="567">
      <c r="A567" s="117" t="s">
        <v>704</v>
      </c>
    </row>
    <row r="572">
      <c r="A572" s="117" t="s">
        <v>647</v>
      </c>
    </row>
    <row r="579">
      <c r="A579" s="117" t="s">
        <v>713</v>
      </c>
    </row>
    <row r="586">
      <c r="A586" s="117" t="s">
        <v>492</v>
      </c>
    </row>
    <row r="588">
      <c r="A588" s="117" t="s">
        <v>511</v>
      </c>
    </row>
    <row r="590">
      <c r="A590" s="117" t="s">
        <v>529</v>
      </c>
    </row>
    <row r="595">
      <c r="A595" s="117" t="s">
        <v>685</v>
      </c>
    </row>
    <row r="602">
      <c r="A602" s="117" t="s">
        <v>721</v>
      </c>
    </row>
    <row r="604">
      <c r="A604" s="117" t="s">
        <v>723</v>
      </c>
    </row>
    <row r="609">
      <c r="A609" s="117" t="s">
        <v>492</v>
      </c>
    </row>
    <row r="611">
      <c r="A611" s="117" t="s">
        <v>511</v>
      </c>
    </row>
    <row r="613">
      <c r="A613" s="117" t="s">
        <v>529</v>
      </c>
    </row>
    <row r="618">
      <c r="A618" s="117" t="s">
        <v>667</v>
      </c>
    </row>
    <row r="625">
      <c r="A625" s="117" t="s">
        <v>728</v>
      </c>
    </row>
    <row r="632">
      <c r="A632" s="117" t="s">
        <v>492</v>
      </c>
    </row>
    <row r="634">
      <c r="A634" s="117" t="s">
        <v>531</v>
      </c>
    </row>
    <row r="636">
      <c r="A636" s="117" t="s">
        <v>576</v>
      </c>
    </row>
    <row r="641">
      <c r="A641" s="117" t="s">
        <v>599</v>
      </c>
    </row>
    <row r="648">
      <c r="A648" s="117" t="s">
        <v>735</v>
      </c>
    </row>
    <row r="655">
      <c r="A655" s="117" t="s">
        <v>492</v>
      </c>
    </row>
    <row r="657">
      <c r="A657" s="117" t="s">
        <v>531</v>
      </c>
    </row>
    <row r="659">
      <c r="A659" s="117" t="s">
        <v>576</v>
      </c>
    </row>
    <row r="664">
      <c r="A664" s="117" t="s">
        <v>647</v>
      </c>
    </row>
    <row r="671">
      <c r="A671" s="117" t="s">
        <v>742</v>
      </c>
    </row>
    <row r="678">
      <c r="A678" s="117" t="s">
        <v>492</v>
      </c>
    </row>
    <row r="680">
      <c r="A680" s="117" t="s">
        <v>494</v>
      </c>
    </row>
    <row r="682">
      <c r="A682" s="117" t="s">
        <v>496</v>
      </c>
    </row>
    <row r="687">
      <c r="A687" s="117" t="s">
        <v>494</v>
      </c>
    </row>
    <row r="694">
      <c r="A694" s="117" t="s">
        <v>748</v>
      </c>
    </row>
    <row r="701">
      <c r="A701" s="117" t="s">
        <v>755</v>
      </c>
    </row>
    <row r="703">
      <c r="A703" s="117" t="s">
        <v>557</v>
      </c>
    </row>
    <row r="705">
      <c r="A705" s="117" t="s">
        <v>624</v>
      </c>
    </row>
    <row r="710">
      <c r="A710" s="117" t="s">
        <v>494</v>
      </c>
    </row>
  </sheetData>
  <autoFilter ref="$A$1:$Z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2021-06-17T08:24:19Z</dcterms:created>
  <dc:creator>DongVD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0x01010041D8A91736E23C4B88E723A1DCAE06CF</vt:lpwstr>
  </property>
  <property fmtid="{D5CDD505-2E9C-101B-9397-08002B2CF9AE}" pid="3" name="MediaServiceImageTags">
    <vt:lpwstr/>
  </property>
</Properties>
</file>